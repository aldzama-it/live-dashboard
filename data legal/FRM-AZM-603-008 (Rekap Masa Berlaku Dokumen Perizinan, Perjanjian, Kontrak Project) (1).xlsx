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 1" sheetId="1" r:id="rId4"/>
    <sheet state="hidden" name="Monitoring Kontrak" sheetId="2" r:id="rId5"/>
    <sheet state="visible" name="Permit" sheetId="3" r:id="rId6"/>
    <sheet state="visible" name="Agreement" sheetId="4" r:id="rId7"/>
    <sheet state="visible" name="Kontrak Project" sheetId="5" r:id="rId8"/>
    <sheet state="hidden" name="Asuransi CGL" sheetId="6" r:id="rId9"/>
    <sheet state="hidden" name="Legal Review" sheetId="7" r:id="rId10"/>
    <sheet state="hidden" name="Legal Advisory" sheetId="8" r:id="rId11"/>
    <sheet state="hidden" name="Legal Drafting" sheetId="9" r:id="rId12"/>
    <sheet state="hidden" name="Surat Kuasa" sheetId="10" r:id="rId13"/>
    <sheet state="hidden" name="Non-Litigasi" sheetId="11" r:id="rId14"/>
    <sheet state="hidden" name="SILO" sheetId="12" r:id="rId15"/>
    <sheet state="hidden" name="SILO (auto_sync)" sheetId="13" r:id="rId16"/>
  </sheets>
  <definedNames>
    <definedName hidden="1" localSheetId="1" name="_xlnm._FilterDatabase">'Monitoring Kontrak'!$B$3:$E$22</definedName>
    <definedName hidden="1" localSheetId="2" name="_xlnm._FilterDatabase">Permit!$A$7:$J$80</definedName>
    <definedName hidden="1" localSheetId="3" name="_xlnm._FilterDatabase">Agreement!$A$3:$J$53</definedName>
    <definedName hidden="1" localSheetId="4" name="_xlnm._FilterDatabase">'Kontrak Project'!$A$3:$K$60</definedName>
    <definedName hidden="1" localSheetId="6" name="_xlnm._FilterDatabase">'Legal Review'!$A$3:$J$68</definedName>
    <definedName hidden="1" localSheetId="7" name="_xlnm._FilterDatabase">'Legal Advisory'!$A$3:$H$48</definedName>
    <definedName hidden="1" localSheetId="8" name="_xlnm._FilterDatabase">'Legal Drafting'!$A$3:$H$47</definedName>
    <definedName hidden="1" localSheetId="9" name="_xlnm._FilterDatabase">'Surat Kuasa'!$A$3:$F$6</definedName>
    <definedName hidden="1" localSheetId="10" name="_xlnm._FilterDatabase">'Non-Litigasi'!$A$3:$F$11</definedName>
  </definedNames>
  <calcPr/>
  <extLst>
    <ext uri="GoogleSheetsCustomDataVersion2">
      <go:sheetsCustomData xmlns:go="http://customooxmlschemas.google.com/" r:id="rId17" roundtripDataChecksum="HsckYKeDC6g8+pkCbnzztKZsxkc8V3EdgtnmAmYPNm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hanya tertera jangka waktu 24 bulan dari 2025 - 2027
======</t>
      </text>
    </comment>
    <comment authorId="0" ref="E22">
      <text>
        <t xml:space="preserve">Pembayaran terakhir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7">
      <text>
        <t xml:space="preserve">Induk
1 April 2026 - 31 Juni 2026
CO#1
15 Juli 2026 - 30 November 2026
======</t>
      </text>
    </comment>
    <comment authorId="0" ref="G32">
      <text>
        <t xml:space="preserve">"All Work shall be completed within four (4) weeks from the approved mobilization date"
======</t>
      </text>
    </comment>
    <comment authorId="0" ref="B37">
      <text>
        <t xml:space="preserve">Cutting and excavation work at Ball Launder and additional Coring Pipe Installation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8">
      <text>
        <t xml:space="preserve">Cutting and excavation work at Ball Launder and additional Coring Pipe Installation
======</t>
      </text>
    </comment>
  </commentList>
</comments>
</file>

<file path=xl/sharedStrings.xml><?xml version="1.0" encoding="utf-8"?>
<sst xmlns="http://schemas.openxmlformats.org/spreadsheetml/2006/main" count="1957" uniqueCount="939">
  <si>
    <t>Monitoring Kontrak</t>
  </si>
  <si>
    <t>Agreement</t>
  </si>
  <si>
    <t>Project/Branch</t>
  </si>
  <si>
    <t>Topic</t>
  </si>
  <si>
    <t>Admin/PIC</t>
  </si>
  <si>
    <t>Deskripsi Dokumen</t>
  </si>
  <si>
    <t>Kontrak</t>
  </si>
  <si>
    <t>REKAP MASA BERLAKU DOKUMEN 
PERIZINAN, PERJANJIAN, KONTRAK PROJECT</t>
  </si>
  <si>
    <t>Pihak Terkait</t>
  </si>
  <si>
    <t>Status</t>
  </si>
  <si>
    <t>Tanggal Mulai</t>
  </si>
  <si>
    <t>Tanggal Selesai</t>
  </si>
  <si>
    <t>Keterangan</t>
  </si>
  <si>
    <t>Perjanjian Sewa Menyewa</t>
  </si>
  <si>
    <t>Countdown</t>
  </si>
  <si>
    <t>Safety Signage</t>
  </si>
  <si>
    <t>Hard File</t>
  </si>
  <si>
    <t>Pihak/Para Pihak</t>
  </si>
  <si>
    <t>FRM-AZM-603-008</t>
  </si>
  <si>
    <t>Reza</t>
  </si>
  <si>
    <t>Link Dokumen</t>
  </si>
  <si>
    <t>Notes</t>
  </si>
  <si>
    <t>Done</t>
  </si>
  <si>
    <t>Halaman: 1/1</t>
  </si>
  <si>
    <t xml:space="preserve">MOU </t>
  </si>
  <si>
    <t>Termonitor</t>
  </si>
  <si>
    <t>MoU Penyelenggaraan Magang</t>
  </si>
  <si>
    <t>Hotshot</t>
  </si>
  <si>
    <t>USK - Aldzama</t>
  </si>
  <si>
    <t>Sewa menyewa lahan parkir WS</t>
  </si>
  <si>
    <t>H. Saiful - Aldzama</t>
  </si>
  <si>
    <t>28 Januari 2025</t>
  </si>
  <si>
    <t>28 Januari 2027</t>
  </si>
  <si>
    <t>Opsi perpanjang 1 tahun tercantum</t>
  </si>
  <si>
    <t>Hariaman / Tasya</t>
  </si>
  <si>
    <t>Tidak aktif - Tidak lanjut</t>
  </si>
  <si>
    <t>Sewa menyewa lahan parkir SMK</t>
  </si>
  <si>
    <t>SMK Nurul Islam - Aldzama</t>
  </si>
  <si>
    <t>01 Juli 2025</t>
  </si>
  <si>
    <t>01 Juli 2026</t>
  </si>
  <si>
    <t>Aktif tanpa biaya sewa, dengan CSR (permagangan)</t>
  </si>
  <si>
    <t>Vale Ladle</t>
  </si>
  <si>
    <t>Nadilla</t>
  </si>
  <si>
    <t>Tanggal Efektif:
2026.03.26</t>
  </si>
  <si>
    <t>Rev. 00</t>
  </si>
  <si>
    <t>Perjanjian sewa Gudang Dascoland</t>
  </si>
  <si>
    <t>Marianus Oei - Aldzama</t>
  </si>
  <si>
    <t>29 Agustus 2025</t>
  </si>
  <si>
    <t>29 Agustus 2026</t>
  </si>
  <si>
    <t>Smelting &amp; Others</t>
  </si>
  <si>
    <t>Realisasi di Notaris Andhini Gresik</t>
  </si>
  <si>
    <t>Perjanjian Vendor</t>
  </si>
  <si>
    <t>Salsa</t>
  </si>
  <si>
    <t>Vendor pengelola Limbah B3</t>
  </si>
  <si>
    <t>PT SMS - Aldzama - PT SAU</t>
  </si>
  <si>
    <t>Hotwork</t>
  </si>
  <si>
    <t>Aktif</t>
  </si>
  <si>
    <t>Hendri Sila</t>
  </si>
  <si>
    <t>Legal &amp; Document Control</t>
  </si>
  <si>
    <t>Hot Metal &amp; Kress Hauler</t>
  </si>
  <si>
    <t>Akhadian &amp; Mitri</t>
  </si>
  <si>
    <t>Refractory</t>
  </si>
  <si>
    <t>13 Januari 2025</t>
  </si>
  <si>
    <t>13 Januari 2026</t>
  </si>
  <si>
    <t>Ifa, Shintiyah, Fesy, Ratih</t>
  </si>
  <si>
    <t xml:space="preserve">Aldzama - ITS </t>
  </si>
  <si>
    <t>Antam Lining</t>
  </si>
  <si>
    <t>Eva Desriati &amp; Nanda</t>
  </si>
  <si>
    <t>Perjanjian Kredit</t>
  </si>
  <si>
    <t>Perjanjian Kredit Modal Kerja Addendum I</t>
  </si>
  <si>
    <t>Sudah kirim draft email</t>
  </si>
  <si>
    <t>Bank Mandiri - Aldzama</t>
  </si>
  <si>
    <t>NDA</t>
  </si>
  <si>
    <t>Tercopy oleh Pak HB</t>
  </si>
  <si>
    <t>BVI A4</t>
  </si>
  <si>
    <t>Perjanjian Kredit Modal Kerja Revolving</t>
  </si>
  <si>
    <t>Nisa &amp; Reza</t>
  </si>
  <si>
    <t xml:space="preserve">  </t>
  </si>
  <si>
    <t>Polis Asuransi</t>
  </si>
  <si>
    <t>Assesoir Polis Asuransi Kebakaran HO No. IP070125000868</t>
  </si>
  <si>
    <t>BVI Specialist</t>
  </si>
  <si>
    <t>Jastan - Aldzama</t>
  </si>
  <si>
    <t>NDA Indoporlen</t>
  </si>
  <si>
    <t>IPS (Calderys) - Aldzama</t>
  </si>
  <si>
    <t>20 Mei 2025</t>
  </si>
  <si>
    <t>20 Mei 2027</t>
  </si>
  <si>
    <t>Aktif dengan syarat No Solicitation (Hire IPS officer)</t>
  </si>
  <si>
    <t>Perjanjian Sewa Gudang Dascoland II</t>
  </si>
  <si>
    <t>Hidrolis</t>
  </si>
  <si>
    <t>PT Damai Sentosa (Dasco) - Aldzama</t>
  </si>
  <si>
    <t>Hermawan</t>
  </si>
  <si>
    <t>Aktif - realisasi di notaris amanda mirza</t>
  </si>
  <si>
    <t>Permit</t>
  </si>
  <si>
    <t>Antam Electrode Casing</t>
  </si>
  <si>
    <t>Nora</t>
  </si>
  <si>
    <t>10 Juni 2025</t>
  </si>
  <si>
    <t>10 Juni 2026</t>
  </si>
  <si>
    <t>Riwayat Pengangkatan Anggota Pengurus Perseroan</t>
  </si>
  <si>
    <t>Fabrikasi Site &amp; WS</t>
  </si>
  <si>
    <t>Maintenance service agreement Matte Grinding PTFI</t>
  </si>
  <si>
    <t>Aldzama - Loesche Indonesia</t>
  </si>
  <si>
    <t xml:space="preserve">Eva Elya </t>
  </si>
  <si>
    <t>General</t>
  </si>
  <si>
    <t>Penyelenggara dan Pengembangan SMK berbasis Industri</t>
  </si>
  <si>
    <t>Concrete Demolition (SAG#3) - Papua</t>
  </si>
  <si>
    <t>Realisasi dari Sewa Menyewa lahan Parkir SMK no 6</t>
  </si>
  <si>
    <t>Tasya / Febriani (TBA)</t>
  </si>
  <si>
    <t>Akta PPJB</t>
  </si>
  <si>
    <t>TBA (tahap diskusi)</t>
  </si>
  <si>
    <t>Akta Perjanjian Pengikatan Jual Beli</t>
  </si>
  <si>
    <t>Notaris Rizki Zarkasyi</t>
  </si>
  <si>
    <t>TBA</t>
  </si>
  <si>
    <t>xx</t>
  </si>
  <si>
    <t>No.</t>
  </si>
  <si>
    <t>HO</t>
  </si>
  <si>
    <t>Nama</t>
  </si>
  <si>
    <t>HRGA</t>
  </si>
  <si>
    <t>Jabatan</t>
  </si>
  <si>
    <t>Pada Akta</t>
  </si>
  <si>
    <t>Tanggal Pengesahan (SK)</t>
  </si>
  <si>
    <t>18 Oktober 2025</t>
  </si>
  <si>
    <t>17 Oktober 2026</t>
  </si>
  <si>
    <t>Perjanjian Konsultan SLF</t>
  </si>
  <si>
    <t>Komodo</t>
  </si>
  <si>
    <t>Surat Perjanjian Kerjasama Pekerjaan Pemeriksaan Kelalaikan Fungsi Bangunan</t>
  </si>
  <si>
    <t>PT Gama Karya Anugerah - Aldzama</t>
  </si>
  <si>
    <t>Bashkaran</t>
  </si>
  <si>
    <t>Selesai</t>
  </si>
  <si>
    <t>Due Date Pengangkatan Kembali</t>
  </si>
  <si>
    <t>Perjanjian Catering</t>
  </si>
  <si>
    <t>Perjanjian Catering Samudra Bumdes Yosowilangun</t>
  </si>
  <si>
    <t>Update</t>
  </si>
  <si>
    <t>Bumdes Yosowilangun</t>
  </si>
  <si>
    <t>22 Oktober 2025</t>
  </si>
  <si>
    <t>Tapper Skimmer</t>
  </si>
  <si>
    <t>Tidak Lanjut</t>
  </si>
  <si>
    <t>Akhadian &amp; Reza</t>
  </si>
  <si>
    <t>Data Sertifikat Tanah</t>
  </si>
  <si>
    <t>Data Tanah Sertifikat Elektronik Aldzama</t>
  </si>
  <si>
    <t>Kementrian Agraria dan Tata Ruang/BPN</t>
  </si>
  <si>
    <t>Prepare ASD 2025</t>
  </si>
  <si>
    <t>Maret 2025</t>
  </si>
  <si>
    <t>Puti &amp; Febriani</t>
  </si>
  <si>
    <t>Kredit Modal Kerja BNI</t>
  </si>
  <si>
    <t>Maret 2055</t>
  </si>
  <si>
    <t>BNI</t>
  </si>
  <si>
    <t>Done | project selesai</t>
  </si>
  <si>
    <t>Magang</t>
  </si>
  <si>
    <t>Perjanjian Rumah Sakit</t>
  </si>
  <si>
    <t>Kerjasama Pelayanan Medical Check-Up</t>
  </si>
  <si>
    <t>Nadia</t>
  </si>
  <si>
    <t>RS Semen Gresik</t>
  </si>
  <si>
    <t>Realisasi dari Sewa Menyewa lahan Parkir SMK</t>
  </si>
  <si>
    <t>Berita Acara Intalasi</t>
  </si>
  <si>
    <t>Berita Acara Pembelian SolidWorks (Settlement Agreement)</t>
  </si>
  <si>
    <t>PT Arisma Data Setia</t>
  </si>
  <si>
    <t>https://drive.google.com/file/d/11CerfbR-6amQQ9V3ynRAQ0bp-x0iD6KO/view?usp=sharing</t>
  </si>
  <si>
    <t>15 Juni 2026</t>
  </si>
  <si>
    <t>batas pembayaran terakhir
-&gt; pengawasan 19 desember 2026 sampai satu tahun kedepan</t>
  </si>
  <si>
    <t>Perjanjian Limbah B3</t>
  </si>
  <si>
    <t>Pengelolaan limbah bahan berbahaya dan beracun (B3)</t>
  </si>
  <si>
    <t xml:space="preserve">PT Putra Restu Ibu Abadi </t>
  </si>
  <si>
    <t>Legal Review (kontrak induk project)</t>
  </si>
  <si>
    <t>Pelayanan Kesehatan Bagi Karyawan (Emergency)</t>
  </si>
  <si>
    <t>Project PTFI</t>
  </si>
  <si>
    <t>Nomor Regist Project</t>
  </si>
  <si>
    <t>Pihak</t>
  </si>
  <si>
    <t>Tanggal Review</t>
  </si>
  <si>
    <t>belum ada feedback atas informasi tanggal dari PIC - Mba Ayu</t>
  </si>
  <si>
    <t>Achyad</t>
  </si>
  <si>
    <t>Komisaris</t>
  </si>
  <si>
    <t>Payroll &amp; Fasilitas Pembiayaan</t>
  </si>
  <si>
    <t>LIME Package dan ETP</t>
  </si>
  <si>
    <t xml:space="preserve">Layanan Payroll &amp; Penyediaan Fasilitas Pembiayaan         </t>
  </si>
  <si>
    <t>Akta Perubahan Ke-4</t>
  </si>
  <si>
    <t>SM2400149-001</t>
  </si>
  <si>
    <t>17 Februari 2021</t>
  </si>
  <si>
    <t>BSI</t>
  </si>
  <si>
    <t>PTFI</t>
  </si>
  <si>
    <t>Perubahan Jabatan Terakhir</t>
  </si>
  <si>
    <t>dalam kontrak tidak disebutkan jangka waktunya - Mas Yusuf</t>
  </si>
  <si>
    <t>RUPS 2026</t>
  </si>
  <si>
    <t>On Proses</t>
  </si>
  <si>
    <t>Kontrak Borongan</t>
  </si>
  <si>
    <t>Perjanjian Urukan Betoyo</t>
  </si>
  <si>
    <t>PT Gresik Rindang Bersatu</t>
  </si>
  <si>
    <t>Decoration and Tajil</t>
  </si>
  <si>
    <t>SM2500031-001-002</t>
  </si>
  <si>
    <t>Akta Perubahan Ke-7</t>
  </si>
  <si>
    <t>selesai</t>
  </si>
  <si>
    <t>25 Maret 2025</t>
  </si>
  <si>
    <t>Pengangkatan Kembali</t>
  </si>
  <si>
    <t>RUPS 2031</t>
  </si>
  <si>
    <t>Perjanjian Audit QMS</t>
  </si>
  <si>
    <t>Konsultasi &amp; Implementasi, Audit Sertifikasi ISO</t>
  </si>
  <si>
    <t>PT Nusajaya Qualiti Indonesia</t>
  </si>
  <si>
    <t>IUJK</t>
  </si>
  <si>
    <t>Modifikasi pengerjaan Blister Launder</t>
  </si>
  <si>
    <t>Izin Usaha Jasa Konstruksi</t>
  </si>
  <si>
    <t xml:space="preserve">CO#06 to SM2300017-001 Change Order MSP-ALD-CO-06 </t>
  </si>
  <si>
    <t>OSS</t>
  </si>
  <si>
    <t>Perjanjian Utang - Piutang</t>
  </si>
  <si>
    <t>Perjanjian Pengembalian Dana Pinjaman</t>
  </si>
  <si>
    <t>PT Dwina Apsara Raya</t>
  </si>
  <si>
    <t>Digantikan oleh NIB</t>
  </si>
  <si>
    <t>BK3N Event 2025</t>
  </si>
  <si>
    <t>sudah dibayar 30 april</t>
  </si>
  <si>
    <t>Hingga jaminan penawaran cair</t>
  </si>
  <si>
    <t xml:space="preserve">SM2500031-001 from Change Order SM2500031-001-005  </t>
  </si>
  <si>
    <t>Manpower supply</t>
  </si>
  <si>
    <t>14 Juli 2025</t>
  </si>
  <si>
    <t>Manpower supply agreement - project scaffolding freeport</t>
  </si>
  <si>
    <t>Karya Tama Mandiri Engineering</t>
  </si>
  <si>
    <t>SAG3 Project</t>
  </si>
  <si>
    <t>TP2500150-001 &amp; Exhibit E</t>
  </si>
  <si>
    <t xml:space="preserve">Perjanjian Pengembalian Dana Pinjaman Jaminan Penawaran </t>
  </si>
  <si>
    <t>CV Tiga Dewi</t>
  </si>
  <si>
    <t>16 Juli 2025</t>
  </si>
  <si>
    <t>sudah dibayar april</t>
  </si>
  <si>
    <t>Hingga jaminan penawaran cair - belum ada pengumuman pemenang</t>
  </si>
  <si>
    <t>https://drive.google.com/drive/folders/1WpzbZq5OQmP-lkC-NEDao5lVfyJZDnkI?usp=drive_link</t>
  </si>
  <si>
    <t>Vacuum Truck PTFI</t>
  </si>
  <si>
    <t>Pengadaan Barang</t>
  </si>
  <si>
    <t xml:space="preserve">Perjanjian Kerjasama Pengadaan Barang </t>
  </si>
  <si>
    <t>SM2500100-001</t>
  </si>
  <si>
    <t>PT Thermal Material Indonesia</t>
  </si>
  <si>
    <t>14 Agustus 2025</t>
  </si>
  <si>
    <t>Refractory PTFI</t>
  </si>
  <si>
    <t>SM2300022-001 (Refractory Project) + CO. No.MS-ALD-CO-04</t>
  </si>
  <si>
    <t xml:space="preserve">Perjanjian Kerjasama Pengadaan Barang &amp; Jasa </t>
  </si>
  <si>
    <t>20 Agustus 2025</t>
  </si>
  <si>
    <t>Aldzama - Thermindo - AEI - AA</t>
  </si>
  <si>
    <t>belum ttd masih tahap review</t>
  </si>
  <si>
    <t>Project ANTAM</t>
  </si>
  <si>
    <t>Perjanjian sewa kubikal</t>
  </si>
  <si>
    <t>Aldzama - Thermindo</t>
  </si>
  <si>
    <t>Sewa Vacuum Truck FeNi Plant</t>
  </si>
  <si>
    <t>A000001702/924/MSC/2023</t>
  </si>
  <si>
    <t>Agency</t>
  </si>
  <si>
    <t>ANTAM</t>
  </si>
  <si>
    <t>Agency services - Yotai</t>
  </si>
  <si>
    <t>Agus Jayana</t>
  </si>
  <si>
    <t>Yotai Refractories</t>
  </si>
  <si>
    <t>26 Maret 2025</t>
  </si>
  <si>
    <t>Direktur Utama</t>
  </si>
  <si>
    <t>dalam kontrak tidak disebutkan jangka waktunya - Mas Alif</t>
  </si>
  <si>
    <t>Jasa Borongan Pekerjaan Electrode Casing, Charging Chute dan Mould Roof Smelting Feni Plant</t>
  </si>
  <si>
    <t>A00000XXXX/9232/XXX/2025</t>
  </si>
  <si>
    <t>Sewa Menyewa &amp; Catering</t>
  </si>
  <si>
    <t>Perjanjian Sewa Menyewa Rumah ANTAM dan Catering</t>
  </si>
  <si>
    <t>Bu Emi</t>
  </si>
  <si>
    <t>belum ada info lebih lanjut atas tanggal spesifiknya dari salsa project</t>
  </si>
  <si>
    <t>Perjanjian Jasa Catering</t>
  </si>
  <si>
    <t>Pengadaan Jasa Pekerjaan Borongan Refractory Lining Feni Plant</t>
  </si>
  <si>
    <t>Perjanjian Jasa Catering Bu Badliana</t>
  </si>
  <si>
    <t>Bu Badliana</t>
  </si>
  <si>
    <t>A00000XXXX/924/CAT/2025</t>
  </si>
  <si>
    <t>Perjanjian Bank</t>
  </si>
  <si>
    <t>Perjanjian Induk Derivatif Indonesia BNI</t>
  </si>
  <si>
    <t>RPTKA</t>
  </si>
  <si>
    <t>Rencana Penggunaan Tenaga Kerja Asing</t>
  </si>
  <si>
    <t>dalam kontrak tidak disebutkan jangka waktunya - Pak Rizky</t>
  </si>
  <si>
    <t>On going review pihak ANTAM | kontrak 01 Oktober 2025 - 30 September 2027</t>
  </si>
  <si>
    <t>Kemnaker</t>
  </si>
  <si>
    <t>Perjanian Sewa Menyewa</t>
  </si>
  <si>
    <t xml:space="preserve">Perjanjian Sewa Menyewa Rumah BAI Project </t>
  </si>
  <si>
    <t>Pak Adi Wijaya</t>
  </si>
  <si>
    <t>Pengadaan Jasa Sewa Vacuum Truck Feni Plant</t>
  </si>
  <si>
    <t>A000002664/924/MSC/2025</t>
  </si>
  <si>
    <t>handle by mas yusuf/Alif</t>
  </si>
  <si>
    <t>Sdh balik ke negaranya</t>
  </si>
  <si>
    <t>On Progress | kontrak 16 Juli 2025 - 15 Juli 2026</t>
  </si>
  <si>
    <t>https://drive.google.com/file/d/1_KllhXzwLNZD9jwPN3ssEohm8xG_SMJz/view?usp=drive_link</t>
  </si>
  <si>
    <t>Project Zhongtsing New Energy</t>
  </si>
  <si>
    <t>https://drive.google.com/drive/folders/1Pl4sKoo05suIiaMqhB-hEa_4k9_nYFhX?usp=drive_link</t>
  </si>
  <si>
    <t>Demolition Machine Operator</t>
  </si>
  <si>
    <t>ZQ-HT-20250201004</t>
  </si>
  <si>
    <t>Zhongtsing New Energy</t>
  </si>
  <si>
    <t>3 Februari 2025</t>
  </si>
  <si>
    <t>Project Ceria (CMP)</t>
  </si>
  <si>
    <t>Manpower Supply Agreement Project BAI</t>
  </si>
  <si>
    <t xml:space="preserve">Cahaya Anugerah Borneo </t>
  </si>
  <si>
    <t>Dirk</t>
  </si>
  <si>
    <t>Jasa Pekerjaan Perbaikan dan Pemeliharaan Refractory</t>
  </si>
  <si>
    <t>CMP-K-P-S-25006</t>
  </si>
  <si>
    <t>belum ada info lebih lanjut atas tanggal spesifiknya</t>
  </si>
  <si>
    <t>Ceria (CMP)</t>
  </si>
  <si>
    <t>21 Juni 2025</t>
  </si>
  <si>
    <t>Hendar Sulaeman</t>
  </si>
  <si>
    <t>Done | Kontrak send 22 Agustus 2025</t>
  </si>
  <si>
    <t>Plafon Guarantee</t>
  </si>
  <si>
    <t>Perjanjian Plafon Guarantee</t>
  </si>
  <si>
    <t>Direktur</t>
  </si>
  <si>
    <t>Jamkrindo</t>
  </si>
  <si>
    <t>Project Indocement Tunggal Perkasa (ITP)</t>
  </si>
  <si>
    <t xml:space="preserve">Perjanjian catering untuk penyediaan di project BAI </t>
  </si>
  <si>
    <t>Perjanjian Jasa Pembongkaran Indocement Tarjun</t>
  </si>
  <si>
    <t>CV Pagi Point</t>
  </si>
  <si>
    <t>096/Agr-ITP/TJN/V25</t>
  </si>
  <si>
    <t>Indocement Tunggal Perkasa (ITP)</t>
  </si>
  <si>
    <t>5 Agustus 2025</t>
  </si>
  <si>
    <t>Done | Kontrak 1 Mei 2025 - 30 April 2026</t>
  </si>
  <si>
    <t>Kontrak Project</t>
  </si>
  <si>
    <t>Surat Perjanjian Kerjasama Parahita MCU Karyawan</t>
  </si>
  <si>
    <t>SDU</t>
  </si>
  <si>
    <t>Parahita</t>
  </si>
  <si>
    <t xml:space="preserve">Project Chiyoda International Indonesia </t>
  </si>
  <si>
    <t>Surat Domisili Usaha (Thermindo)</t>
  </si>
  <si>
    <t>Pemdes Sukomulyo</t>
  </si>
  <si>
    <t>Plafond Guarantee</t>
  </si>
  <si>
    <t>Perjanjian Plafond Guarantee</t>
  </si>
  <si>
    <t>Modification Granulation Pit Wall Chiyoda</t>
  </si>
  <si>
    <t>No. MSP-MP-FO-4820-CVL-SA-25-022 Job Number CI2423F010-CG2523F029</t>
  </si>
  <si>
    <t xml:space="preserve">Chiyoda International Indonesia </t>
  </si>
  <si>
    <t>Done | Project sudah selesai</t>
  </si>
  <si>
    <t>hanya tercopy softcopy aja info dari pak badrul</t>
  </si>
  <si>
    <t>Tanggal Mulai Kontrak</t>
  </si>
  <si>
    <t>CGL</t>
  </si>
  <si>
    <t>Tanggal Akhir Kontrak</t>
  </si>
  <si>
    <t>Asuransi CGL Project PlantSlag Vale</t>
  </si>
  <si>
    <t>Jasindo</t>
  </si>
  <si>
    <t>https://drive.google.com/drive/folders/1TOuLyhvQe7CoPB4L8ddJWURNKJLxSI9c?usp=drive_link</t>
  </si>
  <si>
    <t>Perjanjian Peminjaman Dana</t>
  </si>
  <si>
    <t>Perjanjian Peminjaman Dana Pak Priam</t>
  </si>
  <si>
    <t>PT Dunia Damai Sejahtera</t>
  </si>
  <si>
    <t>Keterangan Domisili Usaha</t>
  </si>
  <si>
    <t>Induk</t>
  </si>
  <si>
    <t>Pihak yang Mengeluarkan</t>
  </si>
  <si>
    <t>Tanggal Aktif</t>
  </si>
  <si>
    <t>Tanggal Habis</t>
  </si>
  <si>
    <t>MCU</t>
  </si>
  <si>
    <t xml:space="preserve">Perjanjian MCU </t>
  </si>
  <si>
    <t>Prodia</t>
  </si>
  <si>
    <t>Keterangan Domisili Usaha (Thermindo)</t>
  </si>
  <si>
    <t>10 Maret 2025</t>
  </si>
  <si>
    <t>10 Maret 2026</t>
  </si>
  <si>
    <t>Keterangan Domisili Usaha (Aldzama)</t>
  </si>
  <si>
    <t>Balai Penilai</t>
  </si>
  <si>
    <t>31 Agustus 2026</t>
  </si>
  <si>
    <t>Perjanjian Balai Pengujian Refraktori</t>
  </si>
  <si>
    <t>Rizky Hidayat</t>
  </si>
  <si>
    <t>Balai Besar Standardisasi dan Pelayanan Jasa Industri Keramik dan Mineral Nonlogam (BBSPJIKMN)</t>
  </si>
  <si>
    <t>Akta Perubahan Ke-5</t>
  </si>
  <si>
    <t>13 Maret 2024</t>
  </si>
  <si>
    <t>Peraturan Perusahaan</t>
  </si>
  <si>
    <t>Pengangkatan Awal</t>
  </si>
  <si>
    <t>RUPS 2029</t>
  </si>
  <si>
    <t>Pengelolaan Sampah</t>
  </si>
  <si>
    <t>Update Peraturan Perusahaan</t>
  </si>
  <si>
    <t>Pengelolaan Sampah DLH - TPST Ngipik</t>
  </si>
  <si>
    <t>Dinas Lingkungan Hidup Gresik</t>
  </si>
  <si>
    <t>Dinas Ketenagakerjaan Kab. Gresik</t>
  </si>
  <si>
    <t>27 Mei 2025</t>
  </si>
  <si>
    <t>26 Mei 2027</t>
  </si>
  <si>
    <t>Aktif - diperbarui h-30</t>
  </si>
  <si>
    <t>Surat Domisili Usaha (Aldzama)</t>
  </si>
  <si>
    <t>Non-Litigasi</t>
  </si>
  <si>
    <t>New Juli - Manpower supply project scaffolding freeport</t>
  </si>
  <si>
    <t>Surat Masuk</t>
  </si>
  <si>
    <t>Dinas-Lembaga/APH</t>
  </si>
  <si>
    <t>Nomor Register</t>
  </si>
  <si>
    <t>belum ada info lebih lanjut atas tanggal spesifiknya dari ali assegaf</t>
  </si>
  <si>
    <t>Tanggal Pelaksanaan</t>
  </si>
  <si>
    <t>Koordinasi terkait parkir kendaraan di ruang milik jalan</t>
  </si>
  <si>
    <t>Marketing</t>
  </si>
  <si>
    <t>https://drive.google.com/drive/folders/1eFRkusvr_QjGZnY64f1x6CrG4pS7NXWb?usp=drive_link</t>
  </si>
  <si>
    <t xml:space="preserve">Kolaborasi Kerjasama Service Installer utk Pulp &amp; Paper Industri </t>
  </si>
  <si>
    <t>Dinas Perhubungan Kab. Gresik</t>
  </si>
  <si>
    <t>PT Citra Nusa Adhikarya (PT CNA)</t>
  </si>
  <si>
    <t xml:space="preserve">550/1439/437.55/2024  </t>
  </si>
  <si>
    <t>26 Novemer 2024</t>
  </si>
  <si>
    <t xml:space="preserve">Ditanggapi melalui 749/UMUM-EXT/GA/AZM/XII/2024 </t>
  </si>
  <si>
    <t>Borongan Pembangunan</t>
  </si>
  <si>
    <t xml:space="preserve">Pemanggilan dan pemeriksaan saksi </t>
  </si>
  <si>
    <t>Kontrak Kerjasama Pembangunan Mess PT Aldzama - Wawondula</t>
  </si>
  <si>
    <t>Kejaksaan Negeri Muntok - Babel</t>
  </si>
  <si>
    <t>belum diinfo mulainya</t>
  </si>
  <si>
    <t>B-338/L.9.5/Fd.2/05/2025</t>
  </si>
  <si>
    <t>4 bulan - estimasi Nov</t>
  </si>
  <si>
    <t>14 Mei 2025</t>
  </si>
  <si>
    <t>Ditanggapi melalui 466/UMUM-EXT/HRGA/AZM/V/2025</t>
  </si>
  <si>
    <t xml:space="preserve">Sidak &amp; TL lapangan </t>
  </si>
  <si>
    <t>Imigrasi Provinsi Jawa Timur</t>
  </si>
  <si>
    <t>Catering</t>
  </si>
  <si>
    <t>Catering SSK</t>
  </si>
  <si>
    <t>Samudra Sport Komplek</t>
  </si>
  <si>
    <t>Zulkarnaini</t>
  </si>
  <si>
    <t>Undangan klarifikasi</t>
  </si>
  <si>
    <t>POLDA Jawa Timur</t>
  </si>
  <si>
    <t>B/5332/VII/RES.5/2025/Ditreskrimsus/Polda Jatim</t>
  </si>
  <si>
    <t>15 Juli 2025</t>
  </si>
  <si>
    <t>Done (ditindak lanjuti dengan 748/UMUM-EXT/HRGA/AZM/Vll/2025)</t>
  </si>
  <si>
    <t>Surat pemberitahuan pelaksanaan ketenagakerjaan</t>
  </si>
  <si>
    <t>Kontrak supply material toko sinar baja pomala</t>
  </si>
  <si>
    <t>Dinas Ketenagakerjaan Provinsi Jawa Timur</t>
  </si>
  <si>
    <t>500.15.16/564/108.5/2025</t>
  </si>
  <si>
    <t>29 Juli 2025</t>
  </si>
  <si>
    <t>SKJ</t>
  </si>
  <si>
    <t>No Dispute, catatan kecil</t>
  </si>
  <si>
    <t>Surat Keterangan Jalan</t>
  </si>
  <si>
    <t>Demonstrasi</t>
  </si>
  <si>
    <t>Kepolisian Republik Indonesia</t>
  </si>
  <si>
    <t>LSM GenPatra</t>
  </si>
  <si>
    <t>10 Oktober 2025</t>
  </si>
  <si>
    <t>Pemanggilan interview</t>
  </si>
  <si>
    <t>Warning Letter / Somasi</t>
  </si>
  <si>
    <t>NARA Law</t>
  </si>
  <si>
    <t>497/DS-S/WL/NR/X/25</t>
  </si>
  <si>
    <t>30 Oktober 2025</t>
  </si>
  <si>
    <t>Solidworks -&gt; pakai APP lawfirm</t>
  </si>
  <si>
    <t>https://drive.google.com/drive/folders/1T4z7PYEY07zT7uPZ08jVWzDbie4Wpy9Q?usp=drive_link</t>
  </si>
  <si>
    <t>Addendum</t>
  </si>
  <si>
    <t>STM</t>
  </si>
  <si>
    <t>Surat Tanda Melapor</t>
  </si>
  <si>
    <t>https://drive.google.com/drive/folders/16TFCgH6b4zzZizNTVRkkJhx1gI4lQNr1?usp=drive_link</t>
  </si>
  <si>
    <t>Evisa</t>
  </si>
  <si>
    <t>Electronic Visa Dirk</t>
  </si>
  <si>
    <t>Direktorat Jenderal Imigrasi</t>
  </si>
  <si>
    <t>https://drive.google.com/drive/folders/1fv3w-VqtPc7RQz_kjqfYvc2K_gssfNKa?usp=drive_link</t>
  </si>
  <si>
    <t xml:space="preserve">TP2500150-001 </t>
  </si>
  <si>
    <t>PP</t>
  </si>
  <si>
    <t>Aktif - Minim Januari uda progress</t>
  </si>
  <si>
    <t>https://drive.google.com/drive/folders/1SxsqwIDZ7cQguhEw5q--_s8NyS1LEMUE?usp=drive_link</t>
  </si>
  <si>
    <t>ITAS</t>
  </si>
  <si>
    <t>Izin Tinggal Terbatas</t>
  </si>
  <si>
    <t>Menteri Investasi dan Hirilisasi</t>
  </si>
  <si>
    <t>https://drive.google.com/drive/folders/1vSTxmtg-JUcz9WF45jfH6XxVArAfdms2?usp=drive_link</t>
  </si>
  <si>
    <t>IUJP</t>
  </si>
  <si>
    <t>Izin Usaha Jasa Pertambangan</t>
  </si>
  <si>
    <t>Scaffolding Supply and Install - Smelter</t>
  </si>
  <si>
    <t>SM2300117-001 &amp; CO: No. SM2300117-001-001</t>
  </si>
  <si>
    <t>Diperbarui</t>
  </si>
  <si>
    <t>https://drive.google.com/file/d/1kbzzkPA7dY5JllcABu87f1Uqwx6KNpXW/view?usp=sharing</t>
  </si>
  <si>
    <t>Change Order Lime Package</t>
  </si>
  <si>
    <t>SM2400149-001-002</t>
  </si>
  <si>
    <t>https://drive.google.com/file/d/16TIoJSEEf5WK2E9vuw1sojWg_5gpfo-7/view?usp=sharing</t>
  </si>
  <si>
    <t>co, induk masih aktif</t>
  </si>
  <si>
    <t>Service Contract Agreement PT Merdeka Tsingshan Indonesia</t>
  </si>
  <si>
    <t>25112025 - 35295</t>
  </si>
  <si>
    <t>PT Merdeka Tsinghan</t>
  </si>
  <si>
    <t>SLF</t>
  </si>
  <si>
    <t>SLF Bangunan Kantor</t>
  </si>
  <si>
    <t>DPMPTSP Kab. Gresik</t>
  </si>
  <si>
    <t>2 Desember 2025</t>
  </si>
  <si>
    <t>Service Contract Agreement Demolition Machine Operator Supply</t>
  </si>
  <si>
    <t>PT Zhongtsing New Energy</t>
  </si>
  <si>
    <t>https://drive.google.com/file/d/1dxG15MLy5Q3SZ_wom-NSkrvwGiV7P1iQ/view?usp=sharing</t>
  </si>
  <si>
    <t>Rekap</t>
  </si>
  <si>
    <t>https://drive.google.com/drive/folders/18ydaR8CHZbY1L2ctvyTyk4gFvJc5pExZ?usp=drive_link</t>
  </si>
  <si>
    <t>SLF Bangunan Gudang</t>
  </si>
  <si>
    <t>Bulan</t>
  </si>
  <si>
    <t>Project</t>
  </si>
  <si>
    <t>Tanggal Request (In)</t>
  </si>
  <si>
    <t>A0000002785/924/CAT/2025</t>
  </si>
  <si>
    <t>Tanggal Review (Out)</t>
  </si>
  <si>
    <t>Durasi Pengerjaan</t>
  </si>
  <si>
    <t>Requester</t>
  </si>
  <si>
    <t>NPWP</t>
  </si>
  <si>
    <t>NPWP Aldzama</t>
  </si>
  <si>
    <t>Kemenkeu, Djp</t>
  </si>
  <si>
    <t>Permanent</t>
  </si>
  <si>
    <t>Refractory Maintenance Services (Refraktori, Hot Metal, Exca DT, Tapper)</t>
  </si>
  <si>
    <t>https://drive.google.com/drive/folders/1aD47Hx6z_hgROMVmomRNdRPnsZxFwxLL?usp=drive_link</t>
  </si>
  <si>
    <t>SM2300022-001-005</t>
  </si>
  <si>
    <t>diperpanjang</t>
  </si>
  <si>
    <t>SM2300022-001-006</t>
  </si>
  <si>
    <t xml:space="preserve">PTFI - Refraktori &amp; Hot Metal </t>
  </si>
  <si>
    <t>BPJS</t>
  </si>
  <si>
    <t>BPJS Ketenagakerjaan</t>
  </si>
  <si>
    <t>PTFI - Tapper Skimmer</t>
  </si>
  <si>
    <t>https://drive.google.com/file/d/19NwWaQZQQldyxuzU_OOvawuZysRBugTj/view?usp=sharing</t>
  </si>
  <si>
    <t>Kiln #1 #2 #3 Reline - Refractories Demolition</t>
  </si>
  <si>
    <t>No. 4600088134</t>
  </si>
  <si>
    <t>Vale</t>
  </si>
  <si>
    <t>Hardfile di HR - Nadia</t>
  </si>
  <si>
    <t>Demolition and Relining Services</t>
  </si>
  <si>
    <t>SM2500253-001</t>
  </si>
  <si>
    <t>BPJS Kesehatan</t>
  </si>
  <si>
    <t>Legal Advisory</t>
  </si>
  <si>
    <t>https://drive.google.com/file/d/1zqk0sZbSDhUb9I0i7py8IsQFmSvxTTP3/view?usp=sharing</t>
  </si>
  <si>
    <t>Change Order #3 Demolition and Relining Services</t>
  </si>
  <si>
    <t>SM2500253-001-001 AF #3</t>
  </si>
  <si>
    <t>Isu</t>
  </si>
  <si>
    <t>induk aktif, co habis</t>
  </si>
  <si>
    <t>Pihak terkait (Req. by)</t>
  </si>
  <si>
    <t>Tanggal Advise (Out)</t>
  </si>
  <si>
    <t>Durasi Penyampaian</t>
  </si>
  <si>
    <t>Batas Akhir KPI</t>
  </si>
  <si>
    <t>Kontrak Pekerjaan Pemasangan Brick Refraktory Rotary Kiln</t>
  </si>
  <si>
    <t>01/SDI-AZM/BRICK/BAYAHKSD2026-01</t>
  </si>
  <si>
    <t>PT Sinoma Development Indonesia</t>
  </si>
  <si>
    <t>Tender</t>
  </si>
  <si>
    <t>PlantSlag Cleaning and Handling</t>
  </si>
  <si>
    <t>PT PMA</t>
  </si>
  <si>
    <t>Tender No. 00001347</t>
  </si>
  <si>
    <t>NIB</t>
  </si>
  <si>
    <t>Januari 2026</t>
  </si>
  <si>
    <t>NIB (Nomor Induk Berusaha)</t>
  </si>
  <si>
    <t>Dalam hal direksi/komisaris pemegang saham PT PMA tidak dapat hadir 
dalam penandatanganan pendirian perusahaan (Bourne)</t>
  </si>
  <si>
    <t>Alif</t>
  </si>
  <si>
    <t>masih by dokumen tender</t>
  </si>
  <si>
    <t>https://drive.google.com/file/d/1q4-d4IaHiXJLQAcjhOmzp2T4m_BYU-LI/view?usp=drive_link</t>
  </si>
  <si>
    <t>Concrete Cutting Work – LNG Project</t>
  </si>
  <si>
    <t>JK2600014-001</t>
  </si>
  <si>
    <t>PTFI - Tembagapura</t>
  </si>
  <si>
    <t>7 hari kerja</t>
  </si>
  <si>
    <t>4 minggu dari tgl mobilisasi</t>
  </si>
  <si>
    <t>Hiring TKA</t>
  </si>
  <si>
    <t>Refractory Demolition Services</t>
  </si>
  <si>
    <t>Perbandingan Skema Direct Hiring dengan B2B untuk TKA - China</t>
  </si>
  <si>
    <t>No. : 001/SA/PRD/SBI-SBA/I/2026</t>
  </si>
  <si>
    <t xml:space="preserve">Dzakwan </t>
  </si>
  <si>
    <t>PT Solusi Bangun Indonesia</t>
  </si>
  <si>
    <t>Akta Pernyataan</t>
  </si>
  <si>
    <t>Keputusan Sirkular Pemegang Saham</t>
  </si>
  <si>
    <t>Notaris Robby</t>
  </si>
  <si>
    <t>https://drive.google.com/drive/folders/1wdajJLs3o5s1xyfp7eWrDOpgqTTel4No?usp=drive_link</t>
  </si>
  <si>
    <t>Modifikasi FCF Blister Launder</t>
  </si>
  <si>
    <t>No. SM2500253-001-002</t>
  </si>
  <si>
    <t>end</t>
  </si>
  <si>
    <t>Cleaning and Process Maintenance Acid &amp; WWTP</t>
  </si>
  <si>
    <t>No. SS2600045-001</t>
  </si>
  <si>
    <t>PT Smelting</t>
  </si>
  <si>
    <t>IUI</t>
  </si>
  <si>
    <t>Februari 2026</t>
  </si>
  <si>
    <t>IUI Barang Tahan Api</t>
  </si>
  <si>
    <t>Laporan Kronologi Lakalantas Pajero</t>
  </si>
  <si>
    <t>Pak Agus, Pak Achyad, Polres Gresik</t>
  </si>
  <si>
    <t>https://drive.google.com/file/d/15lGFMd2NKy7BMZOaCCpB6_DHU1YL0Yin/view?usp=drive_link</t>
  </si>
  <si>
    <t>Busbar Hanger SS Blank</t>
  </si>
  <si>
    <t>No. SS2600047-001</t>
  </si>
  <si>
    <t>Uang Pisah</t>
  </si>
  <si>
    <t>Maret 2026</t>
  </si>
  <si>
    <t xml:space="preserve">Dasar hukum penentuan uang pisah raja </t>
  </si>
  <si>
    <t>HR</t>
  </si>
  <si>
    <t>Induk &amp; CO</t>
  </si>
  <si>
    <t>SAG3 Foundation Remediation Project</t>
  </si>
  <si>
    <t>IUI Konsultan</t>
  </si>
  <si>
    <t>TP2600038-001</t>
  </si>
  <si>
    <t>https://drive.google.com/file/d/1mJYRp0YlGnmzFbb-6Xlfl1Yzs2znyNJL/view?usp=drive_link</t>
  </si>
  <si>
    <t>Partial Replacement Roof Furnace 4</t>
  </si>
  <si>
    <t>110 hari (April)</t>
  </si>
  <si>
    <t>around juli</t>
  </si>
  <si>
    <t>unconfirmed - tidak dinyatakan dalam kontrak</t>
  </si>
  <si>
    <t>Lakalantas</t>
  </si>
  <si>
    <t>SM2300117-001-002</t>
  </si>
  <si>
    <t>Plan tindakan sebelum kasus pajero naik ke kejaksaan secara litigasi</t>
  </si>
  <si>
    <t>Pak agus; Pak achyad</t>
  </si>
  <si>
    <t>IUI Reparasi Mesin</t>
  </si>
  <si>
    <t>KSO</t>
  </si>
  <si>
    <t>Izin Usaha</t>
  </si>
  <si>
    <t>Rencana Kerja Sama Operasi PT Aldzama (Aceh Region)</t>
  </si>
  <si>
    <t>Izin Usaha Perusahaan Penyedia Jasa Pekerja</t>
  </si>
  <si>
    <t>Pak Agus</t>
  </si>
  <si>
    <t>Spot Relining Rotary Kiln 2</t>
  </si>
  <si>
    <t>50 Hari (April)</t>
  </si>
  <si>
    <t>https://drive.google.com/file/d/1OmxyOcR2U5fBKmNDabH4esYTWutP28Rw/view?usp=drive_link</t>
  </si>
  <si>
    <t>around juni</t>
  </si>
  <si>
    <t>end 14 Juni 2026 - info difa rifky</t>
  </si>
  <si>
    <t>Perjanjian KMK Mandiri Add I</t>
  </si>
  <si>
    <t>BOC.GRK/0309/KMK/2024</t>
  </si>
  <si>
    <t>Mandiri</t>
  </si>
  <si>
    <t>PlantSlag Cleaning and Handling (Kontrak) - Tender Winner</t>
  </si>
  <si>
    <t>Kontrak No. 4600089331</t>
  </si>
  <si>
    <t>Perjanjian KMK Mandiri Revolving</t>
  </si>
  <si>
    <t>BOC.SBY/0346/KMK/2025</t>
  </si>
  <si>
    <t>Sertifikat Standar</t>
  </si>
  <si>
    <t>Sertifikat Standar KBLI 23919</t>
  </si>
  <si>
    <t>Mei</t>
  </si>
  <si>
    <t>https://drive.google.com/file/d/1jqWk26sZjWGkEZsNrcJnMKgdSkyGctP_/view?usp=drive_link</t>
  </si>
  <si>
    <t xml:space="preserve">Perjanjian Pembongkaran Bata Tahan Api </t>
  </si>
  <si>
    <t>Assesoir Polis Asuransi Kebakaran HO</t>
  </si>
  <si>
    <t>No. 109/Agr/SGB/XII/25</t>
  </si>
  <si>
    <t>No. IP070125000868</t>
  </si>
  <si>
    <t>Semen Grobogan</t>
  </si>
  <si>
    <t>Jastan</t>
  </si>
  <si>
    <t>sampai ditandatangani BAA</t>
  </si>
  <si>
    <t>https://drive.google.com/drive/folders/1jsNJ04rZpBy8EdvR4Ddu_f0WVwgccBqp?usp=drive_link</t>
  </si>
  <si>
    <t>Sertifikat Standar KBLI 25920</t>
  </si>
  <si>
    <t>https://drive.google.com/file/d/1cmFrkgxNRf_79dszwDfT7vZe1CKwEqi6/view?usp=drive_link</t>
  </si>
  <si>
    <t xml:space="preserve">Kontrak  Pengadaan Jasa Cleaning Alumina Plant Red Side </t>
  </si>
  <si>
    <t xml:space="preserve">OLA012AH123101042026 </t>
  </si>
  <si>
    <t>BAI</t>
  </si>
  <si>
    <t>Sertifikat Standar KBLI 41013</t>
  </si>
  <si>
    <t>https://drive.google.com/file/d/13h-OZDtvgUiGbLM_44991qrgVzXAxoeI/view?usp=drive_link</t>
  </si>
  <si>
    <t xml:space="preserve">Manpower Supply Project Scaffolding PTFI </t>
  </si>
  <si>
    <t>PT METICHEM Water Solutions</t>
  </si>
  <si>
    <t>Desember 2025</t>
  </si>
  <si>
    <t>Change Order Refractory Maintenance Services</t>
  </si>
  <si>
    <t>SM2300022-001</t>
  </si>
  <si>
    <t>Services for Copper Chip Milling System</t>
  </si>
  <si>
    <t>SM2600070-001</t>
  </si>
  <si>
    <t>Sertifikat Standar KBLI 42916</t>
  </si>
  <si>
    <t xml:space="preserve">PTFI </t>
  </si>
  <si>
    <t>https://drive.google.com/file/d/1Knvav0-kpUAEF5reLGCW2cxwJOSQsd1G/view?usp=drive_link</t>
  </si>
  <si>
    <t>Pekerjaan Perbaikan dan Pemeliharaan Refractory</t>
  </si>
  <si>
    <t>CMP</t>
  </si>
  <si>
    <t>Perjanjian KMK BNI (SKK Awal)</t>
  </si>
  <si>
    <t>Struktur Fasilitas</t>
  </si>
  <si>
    <t>Sertifikat Standar KBLI 42923</t>
  </si>
  <si>
    <t>CMP-K-P-S-25006/ADD-XX/XX/2026</t>
  </si>
  <si>
    <t>https://drive.google.com/file/d/12KNeWPlpxqbMOybZTSrK63FA6-g4Z5Br/view?usp=drive_link</t>
  </si>
  <si>
    <t>Jasa pembongkaran, pembersihan dan pembuangan bata tahan api</t>
  </si>
  <si>
    <t>No. 096/Agr-ITP/TJN/V/25</t>
  </si>
  <si>
    <t>Indocement</t>
  </si>
  <si>
    <t xml:space="preserve">SKK. Rev BNI </t>
  </si>
  <si>
    <t>GRK/1/660/R</t>
  </si>
  <si>
    <t>Sertifikat Standar KBLI 43110</t>
  </si>
  <si>
    <t>https://drive.google.com/file/d/1wETFL66iJqRblaZXRIQUtuW2pFKPF1V1/view?usp=drive_link</t>
  </si>
  <si>
    <t>Tabel perbandingan Bank BNI, Mandiri, dan CIMB</t>
  </si>
  <si>
    <t>Jasa Borongan Penggantian Roller Tooth Coal Crusher</t>
  </si>
  <si>
    <t>OLA026AH120408062026</t>
  </si>
  <si>
    <t>Limbah B3</t>
  </si>
  <si>
    <t>Sertifikat Standar KBLI 43291</t>
  </si>
  <si>
    <t>No.../KS/LEG/ALZ-PRIA/LB3/I/2026</t>
  </si>
  <si>
    <t>PT Putra Restu Ibu Abad</t>
  </si>
  <si>
    <t>https://drive.google.com/file/d/1M0VynBtdKlekgNh1UD8spE0iIKeK70LL/view?usp=drive_link</t>
  </si>
  <si>
    <t>Change Order #3 Demolition and Relining Services (tidak ada aspek komersil)</t>
  </si>
  <si>
    <t>Scaffolding Supply, Install and Maintenance (di Hire Lagi)</t>
  </si>
  <si>
    <t>SM2600093-001</t>
  </si>
  <si>
    <t>Perjanjian Kerjasama Pelayanan Kesehatan Bagi Karyawan (Emergency)</t>
  </si>
  <si>
    <t>HK.06/I/2000/10.2025</t>
  </si>
  <si>
    <t>Sertifikat Standar KBLI 43904</t>
  </si>
  <si>
    <t>Rumah Sakit Semen Gresik</t>
  </si>
  <si>
    <t>https://drive.google.com/file/d/1_NIpYzZeOYjFUuiXHDMCFLlDhOsVEWnn/view?usp=drive_link</t>
  </si>
  <si>
    <t xml:space="preserve">Konsultasi &amp; Implementasi, Audit Sertifikasi ISO 9001:2015, 14001:2015  dan  45001:2018 </t>
  </si>
  <si>
    <t xml:space="preserve">Refractory construction for the kiln tail frame preheater of PT. Kobexindo Cement Phase II </t>
  </si>
  <si>
    <t>PTSNM-DJHS-ZLSG-2026-001</t>
  </si>
  <si>
    <t>SINOMA</t>
  </si>
  <si>
    <t>Change Order #3 Demolition and Relining Services (penambahan harga)</t>
  </si>
  <si>
    <t>Sept 2026</t>
  </si>
  <si>
    <t>Maret 2027</t>
  </si>
  <si>
    <t>Sertifikat Standar KBLI 43909</t>
  </si>
  <si>
    <t>https://drive.google.com/file/d/1UAAPvj3nI3xcswX1EBvKZtNEsQ7Pzkpj/view?usp=drive_link</t>
  </si>
  <si>
    <t xml:space="preserve">Perjanjian Kerjasama Layanan Payroll &amp; Penyediaan Fasilitas Pembiayaan </t>
  </si>
  <si>
    <t xml:space="preserve">06/015-3/9058 </t>
  </si>
  <si>
    <t>Refractory construction works for Section B of the PT. Kobexindo Cement Phase II cement line</t>
  </si>
  <si>
    <t xml:space="preserve">PTSNM-DJHS-ZLSG-2026-001
</t>
  </si>
  <si>
    <t>Sertifikat Standar KBLI 68111 - Head Office</t>
  </si>
  <si>
    <t>https://drive.google.com/file/d/1ARQKAoIYJScoeBBarUWD9efWiG73f9U4/view?usp=drive_link</t>
  </si>
  <si>
    <t>Pre Agreement</t>
  </si>
  <si>
    <t xml:space="preserve">Cleaning Coating Inside Mixing And Rerolling Drum By Brokk </t>
  </si>
  <si>
    <t>Krakatau Posco</t>
  </si>
  <si>
    <t>Template Tender</t>
  </si>
  <si>
    <t>tidak tercopy</t>
  </si>
  <si>
    <t>Sertifikat Standar KBLI 68111 - Tanah Betoyo</t>
  </si>
  <si>
    <t>https://drive.google.com/file/d/1o06eeJ2vCfbWvjPH_kIwlN7rluZ0jPoM/view?usp=drive_link</t>
  </si>
  <si>
    <t>Data Umum SPPL</t>
  </si>
  <si>
    <t>Data Umum Peruntukan, SPPL dan Andalin</t>
  </si>
  <si>
    <t>https://drive.google.com/file/d/1cGhrsfyOuuRNc-KVyI0NBuIwXo33h_zt/view?usp=drive_link</t>
  </si>
  <si>
    <t>TAMBAH KOLOM DISINI</t>
  </si>
  <si>
    <t>Rekomendasi</t>
  </si>
  <si>
    <t>Rekomendasi Bangunan Gedung (Kebakaran dan Penangkal Petir)</t>
  </si>
  <si>
    <t>Dinas Pemadam Kebakaran Kab. Gresik</t>
  </si>
  <si>
    <t>Februari 2025</t>
  </si>
  <si>
    <t>Desember 2030 (mengikuti PBG/SLF)</t>
  </si>
  <si>
    <t>https://drive.google.com/file/d/1GJvPhjrr_zSUU88l90OKHBF6dd35XsDT/view?usp=drive_link</t>
  </si>
  <si>
    <t>KONTRAK PROJECT BY DATA SALES</t>
  </si>
  <si>
    <t>PBG</t>
  </si>
  <si>
    <t xml:space="preserve"> SAG3 Foundation Remediation Project</t>
  </si>
  <si>
    <t>PBG Bangunan Kantor</t>
  </si>
  <si>
    <t>SL2200022-001</t>
  </si>
  <si>
    <t>selama tidak ada perubahan fungsi, struktur, atau renovasi besar</t>
  </si>
  <si>
    <t>PBG Bangunan Gudang</t>
  </si>
  <si>
    <t>Concrete Cutting Work – LNG Project (Rev)</t>
  </si>
  <si>
    <t>Surat Rekomendasi dan Surat Ketetapan Retribusi</t>
  </si>
  <si>
    <t>https://drive.google.com/file/d/1rPQDBgE1dfxaZLPiGckrnq2RBKAtEfXP/view?usp=drive_link</t>
  </si>
  <si>
    <t>Samuel</t>
  </si>
  <si>
    <t xml:space="preserve">Scaffolding Supply and Install - Smelter </t>
  </si>
  <si>
    <t>SBU</t>
  </si>
  <si>
    <t>Sertifikat Badan Usaha Konstruksi Gedung Industri - 41013</t>
  </si>
  <si>
    <t>BKPM</t>
  </si>
  <si>
    <t>Pak Rizky</t>
  </si>
  <si>
    <t>https://drive.google.com/file/d/1UIVrvaQz661sYGgwBoDrjJfr1HS89vET/view?usp=drive_link</t>
  </si>
  <si>
    <t>Sertifikat Badan Usaha Konstruksi Khusus Lainnya Ytdl - 43909</t>
  </si>
  <si>
    <t>Menteri Pekerjaan Umum</t>
  </si>
  <si>
    <t>https://drive.google.com/file/d/1uDs8I1BuRTjumUDVEjtZKE6VJ3tX3LQJ/view?usp=drive_link</t>
  </si>
  <si>
    <t>Mei 2026</t>
  </si>
  <si>
    <t>APINDO</t>
  </si>
  <si>
    <t>Asosiasi Pengusaha Indonesia</t>
  </si>
  <si>
    <t>DPK Gresik</t>
  </si>
  <si>
    <t>sedang dalam proses komunikasi dengan sekretariat APINDO, dikarenakan ada updating database berbasis digital</t>
  </si>
  <si>
    <t>Bentuknya Piagam</t>
  </si>
  <si>
    <t xml:space="preserve">Akta </t>
  </si>
  <si>
    <t>Akta Pendirian</t>
  </si>
  <si>
    <t>Notaris Achmad Salis</t>
  </si>
  <si>
    <t>https://drive.google.com/drive/folders/11r7y7p_IQ-UQ5Xhj1Lbe1WMV25_IZpst?usp=sharing</t>
  </si>
  <si>
    <t>Akta Perubahan Ke-1</t>
  </si>
  <si>
    <t>Akta Perubahan Ke-2</t>
  </si>
  <si>
    <t>Akta Perubahan Ke-3</t>
  </si>
  <si>
    <t>Akta Perubahan Ke-6</t>
  </si>
  <si>
    <t>PKKPR</t>
  </si>
  <si>
    <t>Persetujuan Kesesuaian Kegiatan Pemanfaatan Ruang - Betoyo</t>
  </si>
  <si>
    <t>DMPTSP Kab. Gresik</t>
  </si>
  <si>
    <t>https://drive.google.com/file/d/1kArpYK6tmeT-yb2QKIKC0P2AkObL_HP9/view?usp=sharing</t>
  </si>
  <si>
    <t>PKP</t>
  </si>
  <si>
    <t>Pengukuhan Pengusaha Kena Pajak</t>
  </si>
  <si>
    <t>Kemenkeu DJP</t>
  </si>
  <si>
    <t>https://drive.google.com/file/d/1Kt1XhDRxaS8U5UTfzAQJFmd6ZtgwoSHa/view?usp=sharing</t>
  </si>
  <si>
    <t>SKT</t>
  </si>
  <si>
    <t>Surat Keterangan Terdaftar</t>
  </si>
  <si>
    <t>https://drive.google.com/file/d/1FUSw0MswjP7DCjbcLbCgydf8CQRxxLuj/view?usp=sharing</t>
  </si>
  <si>
    <t>berlaku seumur hidup/selama NPWP aktif</t>
  </si>
  <si>
    <t>TDP</t>
  </si>
  <si>
    <t>Tanda Daftar Perusahaan</t>
  </si>
  <si>
    <t>https://drive.google.com/drive/folders/1Ucu_rIPZWGAeLVOeuLwAzzw0Z_DR74yz?usp=drive_link</t>
  </si>
  <si>
    <t>digantikan oleh NIB</t>
  </si>
  <si>
    <t>SIUP</t>
  </si>
  <si>
    <t>SIUP KBLI 4669, 4659, 3312</t>
  </si>
  <si>
    <t>https://drive.google.com/file/d/1MlDmLxVWEuLUTxkMb2FL6wt1I_Jv8-is/view?usp=sharing</t>
  </si>
  <si>
    <t>berlaku sepanjang perusahaan perdagangan aktif menjalankan usahanya.</t>
  </si>
  <si>
    <t>SIUP Konsultan 71102</t>
  </si>
  <si>
    <t>https://drive.google.com/drive/folders/1FER8RZKPINzui5IA5hXUDN33mgACYWd4?usp=drive_link</t>
  </si>
  <si>
    <t>SIUP Konsultan 70209</t>
  </si>
  <si>
    <t>SIUP 81290 Kebersihan bangunan dan industri lainnya</t>
  </si>
  <si>
    <t>SIUP 77100 Sewa Menyewa</t>
  </si>
  <si>
    <t>API-U</t>
  </si>
  <si>
    <t>Angka Pengenal Importir Umum</t>
  </si>
  <si>
    <t>Kemendagri</t>
  </si>
  <si>
    <t>skrg inc dalam NIB</t>
  </si>
  <si>
    <t>https://drive.google.com/file/d/1n4W7kvKqbHBtsBEnOpPxVdK2WMwV0w1h/view?usp=sharing</t>
  </si>
  <si>
    <t>dulu API-U skrg API-P (Keterangan API-P ada di NIB)</t>
  </si>
  <si>
    <t>Kepabeanan</t>
  </si>
  <si>
    <t>Akses Kepabeanan</t>
  </si>
  <si>
    <t>https://drive.google.com/file/d/11ZsnLm-4QCK_JTEwwIU3ACNS9BRdPTJN/view?usp=sharing</t>
  </si>
  <si>
    <t>berlaku selama tidak diblokir atau tidak dicabut oleh Direktorat Jenderal Bea dan Cukai (DJBC).</t>
  </si>
  <si>
    <t>LKPM</t>
  </si>
  <si>
    <t xml:space="preserve">Laporan triwulan LKPM [Jan - Apr - Juli - Okt] </t>
  </si>
  <si>
    <t>tiap tgl 1-10</t>
  </si>
  <si>
    <t xml:space="preserve">pic legal team </t>
  </si>
  <si>
    <t>SIINAS</t>
  </si>
  <si>
    <t>Laporan triwulan SIINas [Jan - Apr - Juli - Okt]</t>
  </si>
  <si>
    <t>SIINas</t>
  </si>
  <si>
    <t>pic aldzama: raihan - pic thermindo: adry</t>
  </si>
  <si>
    <t>Laporan IUJP</t>
  </si>
  <si>
    <t>Laporan IUJP [Jan - Apr - Juli - Okt]</t>
  </si>
  <si>
    <t>Web Ditjen Minerba - Under Menteri ESDM</t>
  </si>
  <si>
    <t>paling lambat 30 hari setelah triwulan berakhir</t>
  </si>
  <si>
    <t>KKPR</t>
  </si>
  <si>
    <t>Kesesuaian Kegiatan Pemanfaatan Ruang Thermindo</t>
  </si>
  <si>
    <t>https://drive.google.com/drive/folders/1Ml_uHopGDBkKBg77CAg-99FO7m-eQWCr?usp=drive_link</t>
  </si>
  <si>
    <t>SHGB</t>
  </si>
  <si>
    <t>SHGB NIB 1357 (M 168) ALDZAMA L 1.052 M2</t>
  </si>
  <si>
    <t>BPN - Kantor Pertanahan Kab. Gresik</t>
  </si>
  <si>
    <t>https://drive.google.com/drive/folders/1fJyfi13HH581weHNVugLYYFNwV28m9Si?usp=drive_link</t>
  </si>
  <si>
    <t>SHGB NIB 1386 (M2000) ALDZAMA L 92M2</t>
  </si>
  <si>
    <t>SHGB NIB 1739 (M 182) ALDZAMA L 140M2</t>
  </si>
  <si>
    <t>SHGB NIB 17973 (M753) ALDZAMA L 136 M2</t>
  </si>
  <si>
    <t>WLKP</t>
  </si>
  <si>
    <t>Laporan WLKP</t>
  </si>
  <si>
    <t>minimal 01 Juni sudah progress</t>
  </si>
  <si>
    <t>ISO</t>
  </si>
  <si>
    <t>Sertif ISO 90001; 14001; 45001</t>
  </si>
  <si>
    <t>tiap surveillance (due date 22 Mei 2027)</t>
  </si>
  <si>
    <t>Legal Drafting</t>
  </si>
  <si>
    <t>Jenis Dokumen</t>
  </si>
  <si>
    <t>Out</t>
  </si>
  <si>
    <t>Durasi Pembuatan</t>
  </si>
  <si>
    <t>Target KPI</t>
  </si>
  <si>
    <t>Settlement Agreement</t>
  </si>
  <si>
    <t>Settlement Agreement antara Aldzama dan DSSW atas Instalasi Solidworks</t>
  </si>
  <si>
    <t>Aldzama - DSSW</t>
  </si>
  <si>
    <t>14 hari kerja</t>
  </si>
  <si>
    <t>Pakta Integritas</t>
  </si>
  <si>
    <t>Pakta Integritas Pendaftaran Tender PT Borneo Alumina Indonesia (BAI)</t>
  </si>
  <si>
    <t>Aiva, Sales</t>
  </si>
  <si>
    <t>Manpower Supply</t>
  </si>
  <si>
    <t>Manpower supply agreement Aldzama - Karya Tama Mandiri Engineering (KTM)</t>
  </si>
  <si>
    <t>Pak haryaman, Pak Anen (KTM)</t>
  </si>
  <si>
    <t>Perjanjian</t>
  </si>
  <si>
    <t>Pak Noor, External</t>
  </si>
  <si>
    <t>Kontrak Karyawan</t>
  </si>
  <si>
    <t>Draft kontrak freelance</t>
  </si>
  <si>
    <t>Draft kontrak PJO &amp; Site Coordinator</t>
  </si>
  <si>
    <t>Perjanjian Pengembalian Dana Pinjaman Jaminan Penawaran - PT Dwina Apsara Raya</t>
  </si>
  <si>
    <t>Pak Badrul, Finance</t>
  </si>
  <si>
    <t>Addendum Perjanjian Sewa Menyewa Lahan Parkir</t>
  </si>
  <si>
    <t>Perjanjian Kerjasama Pengadaan Barang dan Jasa (AZM - AEI - THERMINDO)</t>
  </si>
  <si>
    <t>Revisi Perjanjian Kerja Magang</t>
  </si>
  <si>
    <t>April</t>
  </si>
  <si>
    <t>Surat Pernyataan Menerima Hak Pengupahan atas Mengundurkan Diri (Resign) - Raja</t>
  </si>
  <si>
    <t>Perjanjian Pengembalian Dana Pinjaman Jaminan Penawaran - CV Tiga Dewi</t>
  </si>
  <si>
    <t>Finance</t>
  </si>
  <si>
    <t>Surat Kuasa</t>
  </si>
  <si>
    <t>Surat Kuasa Pengambilan BPKB dari Pihak Leasing</t>
  </si>
  <si>
    <t>Transport</t>
  </si>
  <si>
    <t>Draft Kontrak PKWTT</t>
  </si>
  <si>
    <t>Policy</t>
  </si>
  <si>
    <t>Kebijakan Teknologi Informasi (IT Policy)</t>
  </si>
  <si>
    <t>IT</t>
  </si>
  <si>
    <t>Pakta Integritas IT</t>
  </si>
  <si>
    <t>Perjanjian Sewa Menyewa Rumah Antam dan Catering Bu Emi dan Bu Badliana</t>
  </si>
  <si>
    <t>Operations</t>
  </si>
  <si>
    <t>Surat Hutang AZM - AA</t>
  </si>
  <si>
    <t>Pak badrul, Finance</t>
  </si>
  <si>
    <t>Kontrak Pengadaan</t>
  </si>
  <si>
    <t>Draft Kontrak Vendor Procurement - Pengadaan Barang</t>
  </si>
  <si>
    <t>Mas Kaka, Procurement</t>
  </si>
  <si>
    <t>Sewa Menyewa</t>
  </si>
  <si>
    <t>Perjanjian Sewa Menyewa Rumah BAI Project - Pak Adi Wijaya</t>
  </si>
  <si>
    <t>Mas yusuf, HR</t>
  </si>
  <si>
    <t>Draft Subcon or vendor-general</t>
  </si>
  <si>
    <t>Pak AJ</t>
  </si>
  <si>
    <t>Surat menyurat</t>
  </si>
  <si>
    <t>Surat pernyataan dan permohonan rekam medis - ahmad syamsul bahri</t>
  </si>
  <si>
    <t>Mba Maya, HR</t>
  </si>
  <si>
    <t>Manpower Supply Agreement Cahaya Anugerah Borneo BAI</t>
  </si>
  <si>
    <t>Mas Alif/Kaka</t>
  </si>
  <si>
    <t>Terms &amp; conditions</t>
  </si>
  <si>
    <t>Terms &amp; Conditions PO Vendor</t>
  </si>
  <si>
    <t>Procurement</t>
  </si>
  <si>
    <t>Perjanjian catering untuk penyediaan di project BAI - CV Pagi Point</t>
  </si>
  <si>
    <t>Mba Salsa</t>
  </si>
  <si>
    <t>Surat Kesepakaan Pertanggungjawaban Lakalantas Dony</t>
  </si>
  <si>
    <t>Surat Peringatan Karyawan Merokok</t>
  </si>
  <si>
    <t>Pak Akhadian</t>
  </si>
  <si>
    <t>Guide</t>
  </si>
  <si>
    <t>Kode</t>
  </si>
  <si>
    <t>Pemberi Kuasa</t>
  </si>
  <si>
    <t>Penerima Kuasa</t>
  </si>
  <si>
    <t>Tanggal</t>
  </si>
  <si>
    <t>L.04.1</t>
  </si>
  <si>
    <t>L.04.1/GSP/DSSC</t>
  </si>
  <si>
    <t>PT Aldzama</t>
  </si>
  <si>
    <t>GSP Law Office</t>
  </si>
  <si>
    <t>Dassault System Solidworks Corporation (DSSC)</t>
  </si>
  <si>
    <t>L.04.2</t>
  </si>
  <si>
    <t>L.04.02/AAG/DASCOLAND</t>
  </si>
  <si>
    <t>Direktur Sales Alif</t>
  </si>
  <si>
    <t>Dascoland November 2025</t>
  </si>
  <si>
    <t>Moh Akhsan</t>
  </si>
  <si>
    <t>Akta Kuasa Jual Beli Tanah Betoyo</t>
  </si>
  <si>
    <t>Teguran</t>
  </si>
  <si>
    <t>Demo</t>
  </si>
  <si>
    <t>Panggilan</t>
  </si>
  <si>
    <t>Undangan</t>
  </si>
  <si>
    <t>Jenis Equipment</t>
  </si>
  <si>
    <t>Item SILO</t>
  </si>
  <si>
    <t>Tahun Pembuatan</t>
  </si>
  <si>
    <t>Expired Date</t>
  </si>
  <si>
    <t>Sisa Hari
(s.d Exp Date)</t>
  </si>
  <si>
    <t>Tanggal Pengajuan Perpanjangan</t>
  </si>
  <si>
    <t>Lokasi</t>
  </si>
  <si>
    <t>Forklift</t>
  </si>
  <si>
    <t>3 Ton - CF14E-18563</t>
  </si>
  <si>
    <t>expired</t>
  </si>
  <si>
    <t>Cutting Brick</t>
  </si>
  <si>
    <t>Brick Cutting - BC001</t>
  </si>
  <si>
    <t>PTFI - Refractory Routine Maintenance</t>
  </si>
  <si>
    <t>PJK3 Sudah Release
SILO Belum Release</t>
  </si>
  <si>
    <t>Brick Cutting - BC002</t>
  </si>
  <si>
    <t>Brick Cutting - BC003</t>
  </si>
  <si>
    <t>3 Ton - CF51-12479</t>
  </si>
  <si>
    <t>SILO proses perpanjangan
Submit disnaker 3 Nov 2025</t>
  </si>
  <si>
    <t>Demolition Robot</t>
  </si>
  <si>
    <t>BM 250 - 0314</t>
  </si>
  <si>
    <t>SILO belum terupload di server</t>
  </si>
  <si>
    <t>BM 250 - 0395</t>
  </si>
  <si>
    <t>BM 250T - 0361</t>
  </si>
  <si>
    <t>BM 90 - 920381</t>
  </si>
  <si>
    <t>Pan Mixer</t>
  </si>
  <si>
    <t>Pan Mixer - PM008</t>
  </si>
  <si>
    <t>Pan Mixer - PM009</t>
  </si>
  <si>
    <t>BM 100 - 921505</t>
  </si>
  <si>
    <t>PT Vale Indonesia</t>
  </si>
  <si>
    <t>BM 250 - 910745</t>
  </si>
  <si>
    <t>BM 250 - 910773</t>
  </si>
  <si>
    <t>Skid Steer</t>
  </si>
  <si>
    <t>Case - JAFSR200CJM455350</t>
  </si>
  <si>
    <t>SILO prose pengajuan</t>
  </si>
  <si>
    <t>BM 250T - 910645</t>
  </si>
  <si>
    <t>SILO proses perpanjangan</t>
  </si>
  <si>
    <t>BM 330 - 980635</t>
  </si>
  <si>
    <t>3 Ton - CF14E-18224</t>
  </si>
  <si>
    <t>PT Antam</t>
  </si>
  <si>
    <t>3 Ton - CF51-10224</t>
  </si>
  <si>
    <t>3 Ton - CF51-12409</t>
  </si>
  <si>
    <t>Workshop Aldzama</t>
  </si>
  <si>
    <t>3 Ton - CF51-12585</t>
  </si>
  <si>
    <t>Bobcat - 510126567</t>
  </si>
  <si>
    <t>Telehandler</t>
  </si>
  <si>
    <t>CF51-12955</t>
  </si>
  <si>
    <t>expired / PT Antam</t>
  </si>
  <si>
    <t>Bobcat - B1ED14906</t>
  </si>
  <si>
    <t>BM 200 - 951157</t>
  </si>
  <si>
    <t>BM 180 - 170348</t>
  </si>
  <si>
    <t>BM 330 - 980367</t>
  </si>
  <si>
    <t>Vacuum Truck</t>
  </si>
  <si>
    <t>Megavac - 21196</t>
  </si>
  <si>
    <t>PT Antam - Vacuum Truck</t>
  </si>
  <si>
    <t>BM 110 - 923273</t>
  </si>
  <si>
    <t>HCR120D - P0202304010</t>
  </si>
  <si>
    <t>PT Vale</t>
  </si>
  <si>
    <t>Bobcat - B1ED14980</t>
  </si>
  <si>
    <t>Over Head Crane</t>
  </si>
  <si>
    <t>KN04240110101</t>
  </si>
  <si>
    <t>Terakhir update bulan Juni/
Juli 2025 (Informasi Pak nur)</t>
  </si>
  <si>
    <t>Sigma - XC740K</t>
  </si>
  <si>
    <t>1 Ton - FSVE61</t>
  </si>
  <si>
    <t>3 Ton - CT14E-23258</t>
  </si>
  <si>
    <t>BM 300 - 912103</t>
  </si>
  <si>
    <t>PTFI - Papua</t>
  </si>
  <si>
    <t>Excavator</t>
  </si>
  <si>
    <t>Sany - SY0208CBE0718</t>
  </si>
  <si>
    <t>PTFI - Excavator &amp; Dump Truck</t>
  </si>
  <si>
    <t>Caterpillar - CAT00320ASYW00221</t>
  </si>
  <si>
    <t>Caterpillar 2</t>
  </si>
  <si>
    <t>BM 110 - 923327</t>
  </si>
  <si>
    <t>Hitachi 1</t>
  </si>
  <si>
    <t>3 Ton - CF51-12955</t>
  </si>
  <si>
    <t>Pan Mixer - 0092501021</t>
  </si>
  <si>
    <t>Pan Mixer - 0092501020</t>
  </si>
  <si>
    <t>BM 170 - 943183</t>
  </si>
  <si>
    <t>Gunning Machine</t>
  </si>
  <si>
    <t>Gunning Machine - GM026</t>
  </si>
  <si>
    <t>Pan Mixer - AZM-PM-025</t>
  </si>
  <si>
    <t>Hitachi 2</t>
  </si>
  <si>
    <t>TMC</t>
  </si>
  <si>
    <t>TMC - KZ1222</t>
  </si>
  <si>
    <t>Bobcat - B5NB11344</t>
  </si>
  <si>
    <t>BM 330 - 980186</t>
  </si>
  <si>
    <t>BM 330 - 980369 (Rubber)</t>
  </si>
  <si>
    <t>Geohammer 200E - 200E0004</t>
  </si>
  <si>
    <t>HCR120D - PO202411003</t>
  </si>
  <si>
    <t>HCR120D - PO202411004</t>
  </si>
  <si>
    <t>25 Ton - HNF 250</t>
  </si>
  <si>
    <t>Highpoint - 1000S</t>
  </si>
  <si>
    <t>PTFI - Vacuum Truck</t>
  </si>
  <si>
    <t>Brick Cutting - BC005</t>
  </si>
  <si>
    <t>On progress</t>
  </si>
  <si>
    <t>BM 100 - 921452</t>
  </si>
  <si>
    <t>SILO proses baru</t>
  </si>
  <si>
    <t>BM 160 - 942428</t>
  </si>
  <si>
    <t>BM 90 - 921166</t>
  </si>
  <si>
    <t>HRC200</t>
  </si>
  <si>
    <t>3 Ton - CF14E-13486</t>
  </si>
  <si>
    <t>Gudang Cascoland Aldzama</t>
  </si>
  <si>
    <t>Bobcat</t>
  </si>
  <si>
    <t>PT Antam - Lining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</si>
</sst>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 &quot;mmmm&quot; &quot;yyyy"/>
    <numFmt numFmtId="165" formatCode="d mmmm yyyy"/>
    <numFmt numFmtId="166" formatCode="[$-421]dd\ mmmm\ yyyy"/>
    <numFmt numFmtId="167" formatCode="mmmm yyyy"/>
    <numFmt numFmtId="168" formatCode="dd mmmm yyyy"/>
    <numFmt numFmtId="169" formatCode="yyyy-mm-dd"/>
    <numFmt numFmtId="170" formatCode="dd/mm/yyyy"/>
    <numFmt numFmtId="171" formatCode="mmm yyyy"/>
    <numFmt numFmtId="172" formatCode="d/m/yyyy"/>
    <numFmt numFmtId="173" formatCode="d&quot; &quot;mmm&quot; &quot;yyyy"/>
  </numFmts>
  <fonts count="16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5.0"/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  <font>
      <i/>
      <sz val="11.0"/>
      <color theme="1"/>
      <name val="Calibri"/>
    </font>
    <font>
      <b/>
      <sz val="11.0"/>
      <color rgb="FF000000"/>
      <name val="Calibri"/>
    </font>
    <font>
      <u/>
      <color rgb="FF0000FF"/>
    </font>
    <font>
      <sz val="11.0"/>
      <color rgb="FF000000"/>
      <name val="Calibri"/>
    </font>
    <font>
      <u/>
      <color rgb="FF0000FF"/>
    </font>
    <font>
      <u/>
      <color rgb="FF0000FF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4472C4"/>
        <bgColor rgb="FF4472C4"/>
      </patternFill>
    </fill>
    <fill>
      <patternFill patternType="solid">
        <fgColor rgb="FFD9EAD3"/>
        <bgColor rgb="FFD9EAD3"/>
      </patternFill>
    </fill>
  </fills>
  <borders count="16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2" fillId="3" fontId="3" numFmtId="0" xfId="0" applyAlignment="1" applyBorder="1" applyFill="1" applyFont="1">
      <alignment horizontal="center"/>
    </xf>
    <xf borderId="0" fillId="0" fontId="4" numFmtId="0" xfId="0" applyFont="1"/>
    <xf borderId="3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0" fillId="3" fontId="4" numFmtId="0" xfId="0" applyAlignment="1" applyFont="1">
      <alignment readingOrder="0"/>
    </xf>
    <xf borderId="0" fillId="3" fontId="4" numFmtId="0" xfId="0" applyFont="1"/>
    <xf borderId="4" fillId="0" fontId="5" numFmtId="0" xfId="0" applyAlignment="1" applyBorder="1" applyFont="1">
      <alignment horizontal="center" readingOrder="0" vertical="center"/>
    </xf>
    <xf borderId="4" fillId="0" fontId="6" numFmtId="0" xfId="0" applyBorder="1" applyFont="1"/>
    <xf borderId="0" fillId="3" fontId="7" numFmtId="0" xfId="0" applyAlignment="1" applyFont="1">
      <alignment readingOrder="0"/>
    </xf>
    <xf borderId="0" fillId="0" fontId="1" numFmtId="0" xfId="0" applyFont="1"/>
    <xf borderId="2" fillId="4" fontId="1" numFmtId="0" xfId="0" applyBorder="1" applyFill="1" applyFont="1"/>
    <xf borderId="0" fillId="3" fontId="7" numFmtId="0" xfId="0" applyAlignment="1" applyFont="1">
      <alignment horizontal="center" readingOrder="0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2" fillId="0" fontId="1" numFmtId="0" xfId="0" applyBorder="1" applyFont="1"/>
    <xf borderId="0" fillId="5" fontId="1" numFmtId="0" xfId="0" applyFill="1" applyFont="1"/>
    <xf borderId="7" fillId="0" fontId="3" numFmtId="0" xfId="0" applyAlignment="1" applyBorder="1" applyFont="1">
      <alignment vertical="center"/>
    </xf>
    <xf borderId="2" fillId="6" fontId="1" numFmtId="0" xfId="0" applyBorder="1" applyFill="1" applyFont="1"/>
    <xf borderId="0" fillId="0" fontId="3" numFmtId="0" xfId="0" applyAlignment="1" applyFont="1">
      <alignment vertical="center"/>
    </xf>
    <xf borderId="0" fillId="5" fontId="1" numFmtId="164" xfId="0" applyAlignment="1" applyFont="1" applyNumberFormat="1">
      <alignment horizontal="center"/>
    </xf>
    <xf borderId="0" fillId="0" fontId="8" numFmtId="0" xfId="0" applyAlignment="1" applyFont="1">
      <alignment vertical="center"/>
    </xf>
    <xf borderId="0" fillId="5" fontId="1" numFmtId="0" xfId="0" applyAlignment="1" applyFont="1">
      <alignment readingOrder="0"/>
    </xf>
    <xf borderId="8" fillId="0" fontId="6" numFmtId="0" xfId="0" applyBorder="1" applyFont="1"/>
    <xf borderId="9" fillId="0" fontId="9" numFmtId="0" xfId="0" applyAlignment="1" applyBorder="1" applyFont="1">
      <alignment readingOrder="0" vertical="center"/>
    </xf>
    <xf borderId="0" fillId="7" fontId="8" numFmtId="0" xfId="0" applyFill="1" applyFont="1"/>
    <xf borderId="0" fillId="6" fontId="1" numFmtId="0" xfId="0" applyFont="1"/>
    <xf borderId="10" fillId="0" fontId="6" numFmtId="0" xfId="0" applyBorder="1" applyFont="1"/>
    <xf borderId="0" fillId="6" fontId="1" numFmtId="164" xfId="0" applyAlignment="1" applyFont="1" applyNumberFormat="1">
      <alignment horizontal="center"/>
    </xf>
    <xf borderId="11" fillId="0" fontId="6" numFmtId="0" xfId="0" applyBorder="1" applyFont="1"/>
    <xf borderId="0" fillId="8" fontId="1" numFmtId="164" xfId="0" applyAlignment="1" applyFill="1" applyFont="1" applyNumberFormat="1">
      <alignment horizontal="center"/>
    </xf>
    <xf borderId="0" fillId="6" fontId="1" numFmtId="0" xfId="0" applyAlignment="1" applyFont="1">
      <alignment readingOrder="0"/>
    </xf>
    <xf borderId="0" fillId="3" fontId="3" numFmtId="0" xfId="0" applyAlignment="1" applyFont="1">
      <alignment vertical="bottom"/>
    </xf>
    <xf borderId="9" fillId="0" fontId="9" numFmtId="0" xfId="0" applyAlignment="1" applyBorder="1" applyFont="1">
      <alignment horizontal="center" vertical="center"/>
    </xf>
    <xf borderId="0" fillId="4" fontId="1" numFmtId="0" xfId="0" applyFont="1"/>
    <xf borderId="12" fillId="0" fontId="9" numFmtId="0" xfId="0" applyAlignment="1" applyBorder="1" applyFont="1">
      <alignment horizontal="center" vertical="center"/>
    </xf>
    <xf borderId="0" fillId="4" fontId="1" numFmtId="164" xfId="0" applyAlignment="1" applyFont="1" applyNumberFormat="1">
      <alignment horizontal="center"/>
    </xf>
    <xf borderId="7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6" fontId="1" numFmtId="0" xfId="0" applyFont="1"/>
    <xf borderId="0" fillId="6" fontId="3" numFmtId="164" xfId="0" applyAlignment="1" applyFont="1" applyNumberFormat="1">
      <alignment horizontal="center"/>
    </xf>
    <xf borderId="0" fillId="8" fontId="3" numFmtId="164" xfId="0" applyAlignment="1" applyFont="1" applyNumberFormat="1">
      <alignment horizontal="center"/>
    </xf>
    <xf borderId="6" fillId="9" fontId="3" numFmtId="0" xfId="0" applyAlignment="1" applyBorder="1" applyFill="1" applyFont="1">
      <alignment vertical="center"/>
    </xf>
    <xf borderId="0" fillId="4" fontId="1" numFmtId="0" xfId="0" applyFont="1"/>
    <xf borderId="13" fillId="0" fontId="6" numFmtId="0" xfId="0" applyBorder="1" applyFont="1"/>
    <xf borderId="0" fillId="4" fontId="3" numFmtId="164" xfId="0" applyAlignment="1" applyFont="1" applyNumberFormat="1">
      <alignment horizontal="center"/>
    </xf>
    <xf borderId="0" fillId="6" fontId="1" numFmtId="165" xfId="0" applyAlignment="1" applyFont="1" applyNumberFormat="1">
      <alignment horizontal="left" readingOrder="0"/>
    </xf>
    <xf borderId="2" fillId="6" fontId="3" numFmtId="0" xfId="0" applyBorder="1" applyFont="1"/>
    <xf borderId="7" fillId="0" fontId="3" numFmtId="0" xfId="0" applyAlignment="1" applyBorder="1" applyFont="1">
      <alignment vertical="center"/>
    </xf>
    <xf borderId="0" fillId="7" fontId="8" numFmtId="0" xfId="0" applyAlignment="1" applyFont="1">
      <alignment readingOrder="0"/>
    </xf>
    <xf borderId="0" fillId="0" fontId="3" numFmtId="0" xfId="0" applyAlignment="1" applyFont="1">
      <alignment vertical="center"/>
    </xf>
    <xf borderId="0" fillId="10" fontId="1" numFmtId="0" xfId="0" applyFill="1" applyFont="1"/>
    <xf borderId="0" fillId="10" fontId="3" numFmtId="164" xfId="0" applyAlignment="1" applyFont="1" applyNumberFormat="1">
      <alignment horizontal="center"/>
    </xf>
    <xf borderId="0" fillId="0" fontId="8" numFmtId="0" xfId="0" applyAlignment="1" applyFont="1">
      <alignment readingOrder="0" vertical="center"/>
    </xf>
    <xf borderId="2" fillId="11" fontId="3" numFmtId="0" xfId="0" applyBorder="1" applyFill="1" applyFont="1"/>
    <xf borderId="0" fillId="0" fontId="8" numFmtId="0" xfId="0" applyAlignment="1" applyFont="1">
      <alignment horizontal="right" vertical="center"/>
    </xf>
    <xf borderId="0" fillId="0" fontId="1" numFmtId="0" xfId="0" applyAlignment="1" applyFont="1">
      <alignment readingOrder="0"/>
    </xf>
    <xf borderId="0" fillId="6" fontId="3" numFmtId="164" xfId="0" applyAlignment="1" applyFont="1" applyNumberFormat="1">
      <alignment horizontal="center" readingOrder="0"/>
    </xf>
    <xf borderId="0" fillId="0" fontId="8" numFmtId="0" xfId="0" applyAlignment="1" applyFont="1">
      <alignment shrinkToFit="0" vertical="center" wrapText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horizontal="center" readingOrder="0"/>
    </xf>
    <xf borderId="0" fillId="3" fontId="1" numFmtId="0" xfId="0" applyFont="1"/>
    <xf borderId="14" fillId="2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2" fontId="7" numFmtId="0" xfId="0" applyAlignment="1" applyFont="1">
      <alignment readingOrder="0" vertical="center"/>
    </xf>
    <xf borderId="0" fillId="10" fontId="1" numFmtId="0" xfId="0" applyFont="1"/>
    <xf borderId="0" fillId="0" fontId="4" numFmtId="0" xfId="0" applyAlignment="1" applyFont="1">
      <alignment horizontal="center" vertical="center"/>
    </xf>
    <xf borderId="0" fillId="10" fontId="3" numFmtId="15" xfId="0" applyAlignment="1" applyFont="1" applyNumberFormat="1">
      <alignment horizontal="left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3" fontId="7" numFmtId="0" xfId="0" applyAlignment="1" applyFont="1">
      <alignment horizontal="center" readingOrder="0" vertical="center"/>
    </xf>
    <xf borderId="0" fillId="4" fontId="3" numFmtId="0" xfId="0" applyAlignment="1" applyFont="1">
      <alignment vertical="bottom"/>
    </xf>
    <xf borderId="0" fillId="3" fontId="3" numFmtId="15" xfId="0" applyAlignment="1" applyFont="1" applyNumberFormat="1">
      <alignment horizontal="left"/>
    </xf>
    <xf borderId="0" fillId="3" fontId="7" numFmtId="0" xfId="0" applyAlignment="1" applyFont="1">
      <alignment horizontal="center" readingOrder="0" shrinkToFit="0" vertical="center" wrapText="0"/>
    </xf>
    <xf borderId="0" fillId="4" fontId="3" numFmtId="165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center"/>
    </xf>
    <xf borderId="0" fillId="4" fontId="3" numFmtId="0" xfId="0" applyAlignment="1" applyFont="1">
      <alignment horizontal="center" vertical="bottom"/>
    </xf>
    <xf borderId="0" fillId="3" fontId="10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readingOrder="0" vertical="bottom"/>
    </xf>
    <xf borderId="0" fillId="4" fontId="3" numFmtId="0" xfId="0" applyAlignment="1" applyFont="1">
      <alignment horizontal="left"/>
    </xf>
    <xf borderId="0" fillId="0" fontId="8" numFmtId="0" xfId="0" applyAlignment="1" applyFont="1">
      <alignment readingOrder="0"/>
    </xf>
    <xf borderId="0" fillId="5" fontId="8" numFmtId="0" xfId="0" applyAlignment="1" applyFont="1">
      <alignment readingOrder="0"/>
    </xf>
    <xf borderId="2" fillId="8" fontId="3" numFmtId="0" xfId="0" applyBorder="1" applyFont="1"/>
    <xf borderId="0" fillId="5" fontId="8" numFmtId="0" xfId="0" applyAlignment="1" applyFont="1">
      <alignment horizontal="center" readingOrder="0"/>
    </xf>
    <xf borderId="0" fillId="6" fontId="3" numFmtId="0" xfId="0" applyAlignment="1" applyFont="1">
      <alignment horizontal="left"/>
    </xf>
    <xf borderId="0" fillId="5" fontId="1" numFmtId="164" xfId="0" applyAlignment="1" applyFont="1" applyNumberFormat="1">
      <alignment horizontal="center" readingOrder="0"/>
    </xf>
    <xf borderId="0" fillId="4" fontId="8" numFmtId="0" xfId="0" applyAlignment="1" applyFont="1">
      <alignment readingOrder="0" vertical="center"/>
    </xf>
    <xf borderId="0" fillId="4" fontId="8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center" readingOrder="0"/>
    </xf>
    <xf borderId="0" fillId="4" fontId="8" numFmtId="0" xfId="0" applyAlignment="1" applyFont="1">
      <alignment vertical="center"/>
    </xf>
    <xf borderId="0" fillId="7" fontId="8" numFmtId="0" xfId="0" applyAlignment="1" applyFont="1">
      <alignment vertical="center"/>
    </xf>
    <xf borderId="0" fillId="4" fontId="3" numFmtId="15" xfId="0" applyAlignment="1" applyFont="1" applyNumberFormat="1">
      <alignment horizontal="left"/>
    </xf>
    <xf borderId="0" fillId="7" fontId="8" numFmtId="0" xfId="0" applyAlignment="1" applyFont="1">
      <alignment readingOrder="0" vertical="center"/>
    </xf>
    <xf borderId="0" fillId="10" fontId="1" numFmtId="164" xfId="0" applyAlignment="1" applyFont="1" applyNumberForma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4" fillId="2" fontId="3" numFmtId="0" xfId="0" applyBorder="1" applyFont="1"/>
    <xf borderId="15" fillId="6" fontId="3" numFmtId="0" xfId="0" applyBorder="1" applyFont="1"/>
    <xf borderId="0" fillId="0" fontId="1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readingOrder="0"/>
    </xf>
    <xf borderId="0" fillId="0" fontId="12" numFmtId="0" xfId="0" applyAlignment="1" applyFont="1">
      <alignment readingOrder="0" shrinkToFit="0" vertical="center" wrapText="1"/>
    </xf>
    <xf borderId="0" fillId="0" fontId="3" numFmtId="166" xfId="0" applyAlignment="1" applyFont="1" applyNumberFormat="1">
      <alignment horizontal="left"/>
    </xf>
    <xf borderId="0" fillId="5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/>
    </xf>
    <xf borderId="0" fillId="4" fontId="1" numFmtId="167" xfId="0" applyAlignment="1" applyFont="1" applyNumberFormat="1">
      <alignment horizontal="center" readingOrder="0" vertical="center"/>
    </xf>
    <xf borderId="0" fillId="8" fontId="8" numFmtId="167" xfId="0" applyAlignment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horizontal="right" readingOrder="0" vertical="center"/>
    </xf>
    <xf borderId="0" fillId="5" fontId="8" numFmtId="165" xfId="0" applyAlignment="1" applyFont="1" applyNumberFormat="1">
      <alignment horizontal="center" readingOrder="0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center"/>
    </xf>
    <xf borderId="0" fillId="4" fontId="3" numFmtId="0" xfId="0" applyAlignment="1" applyFont="1">
      <alignment shrinkToFit="0" vertical="bottom" wrapText="1"/>
    </xf>
    <xf borderId="0" fillId="4" fontId="3" numFmtId="15" xfId="0" applyAlignment="1" applyFont="1" applyNumberFormat="1">
      <alignment vertical="bottom"/>
    </xf>
    <xf borderId="0" fillId="5" fontId="8" numFmtId="168" xfId="0" applyAlignment="1" applyFont="1" applyNumberFormat="1">
      <alignment horizontal="center" readingOrder="0"/>
    </xf>
    <xf borderId="0" fillId="10" fontId="3" numFmtId="0" xfId="0" applyAlignment="1" applyFont="1">
      <alignment vertical="bottom"/>
    </xf>
    <xf borderId="0" fillId="4" fontId="8" numFmtId="168" xfId="0" applyAlignment="1" applyFont="1" applyNumberFormat="1">
      <alignment horizontal="center" readingOrder="0"/>
    </xf>
    <xf borderId="0" fillId="10" fontId="3" numFmtId="15" xfId="0" applyAlignment="1" applyFont="1" applyNumberFormat="1">
      <alignment vertical="bottom"/>
    </xf>
    <xf borderId="0" fillId="4" fontId="8" numFmtId="165" xfId="0" applyAlignment="1" applyFont="1" applyNumberFormat="1">
      <alignment horizontal="center" readingOrder="0"/>
    </xf>
    <xf borderId="0" fillId="4" fontId="8" numFmtId="0" xfId="0" applyFont="1"/>
    <xf borderId="0" fillId="0" fontId="8" numFmtId="168" xfId="0" applyAlignment="1" applyFont="1" applyNumberFormat="1">
      <alignment horizontal="center" readingOrder="0"/>
    </xf>
    <xf borderId="0" fillId="0" fontId="13" numFmtId="0" xfId="0" applyAlignment="1" applyFont="1">
      <alignment readingOrder="0" shrinkToFit="0" vertical="center" wrapText="0"/>
    </xf>
    <xf borderId="0" fillId="4" fontId="10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/>
    </xf>
    <xf borderId="0" fillId="4" fontId="12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3" numFmtId="166" xfId="0" applyAlignment="1" applyFont="1" applyNumberFormat="1">
      <alignment horizontal="left" vertical="center"/>
    </xf>
    <xf borderId="0" fillId="4" fontId="8" numFmtId="0" xfId="0" applyAlignment="1" applyFont="1">
      <alignment horizontal="center"/>
    </xf>
    <xf borderId="0" fillId="4" fontId="3" numFmtId="0" xfId="0" applyAlignment="1" applyFont="1">
      <alignment vertical="center"/>
    </xf>
    <xf borderId="0" fillId="4" fontId="3" numFmtId="15" xfId="0" applyAlignment="1" applyFont="1" applyNumberFormat="1">
      <alignment horizontal="left" vertical="center"/>
    </xf>
    <xf borderId="0" fillId="4" fontId="3" numFmtId="0" xfId="0" applyAlignment="1" applyFont="1">
      <alignment shrinkToFit="0" vertical="center" wrapText="1"/>
    </xf>
    <xf borderId="0" fillId="4" fontId="3" numFmtId="164" xfId="0" applyAlignment="1" applyFont="1" applyNumberFormat="1">
      <alignment horizontal="right" readingOrder="0" vertical="center"/>
    </xf>
    <xf borderId="0" fillId="8" fontId="3" numFmtId="164" xfId="0" applyAlignment="1" applyFont="1" applyNumberFormat="1">
      <alignment horizontal="right" readingOrder="0" vertical="center"/>
    </xf>
    <xf borderId="0" fillId="4" fontId="3" numFmtId="0" xfId="0" applyAlignment="1" applyFont="1">
      <alignment readingOrder="0" vertical="center"/>
    </xf>
    <xf borderId="0" fillId="10" fontId="3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3" numFmtId="15" xfId="0" applyFont="1" applyNumberFormat="1"/>
    <xf borderId="0" fillId="0" fontId="8" numFmtId="0" xfId="0" applyAlignment="1" applyFont="1">
      <alignment horizontal="left"/>
    </xf>
    <xf borderId="0" fillId="0" fontId="8" numFmtId="0" xfId="0" applyAlignment="1" applyFont="1">
      <alignment shrinkToFit="0" wrapText="0"/>
    </xf>
    <xf borderId="0" fillId="6" fontId="3" numFmtId="0" xfId="0" applyFont="1"/>
    <xf borderId="1" fillId="2" fontId="2" numFmtId="0" xfId="0" applyAlignment="1" applyBorder="1" applyFont="1">
      <alignment readingOrder="0"/>
    </xf>
    <xf borderId="0" fillId="0" fontId="8" numFmtId="165" xfId="0" applyAlignment="1" applyFont="1" applyNumberFormat="1">
      <alignment horizontal="center" readingOrder="0"/>
    </xf>
    <xf borderId="0" fillId="6" fontId="1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6" fontId="3" numFmtId="0" xfId="0" applyAlignment="1" applyFont="1">
      <alignment vertical="center"/>
    </xf>
    <xf borderId="14" fillId="6" fontId="3" numFmtId="0" xfId="0" applyBorder="1" applyFont="1"/>
    <xf borderId="0" fillId="0" fontId="1" numFmtId="164" xfId="0" applyAlignment="1" applyFont="1" applyNumberFormat="1">
      <alignment horizontal="right"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left" vertical="center"/>
    </xf>
    <xf borderId="0" fillId="0" fontId="3" numFmtId="15" xfId="0" applyAlignment="1" applyFont="1" applyNumberFormat="1">
      <alignment horizontal="left"/>
    </xf>
    <xf borderId="0" fillId="10" fontId="3" numFmtId="0" xfId="0" applyFont="1"/>
    <xf borderId="0" fillId="3" fontId="7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left" vertical="center"/>
    </xf>
    <xf borderId="0" fillId="4" fontId="1" numFmtId="164" xfId="0" applyAlignment="1" applyFont="1" applyNumberFormat="1">
      <alignment horizontal="right" readingOrder="0" vertical="center"/>
    </xf>
    <xf borderId="0" fillId="4" fontId="1" numFmtId="0" xfId="0" applyAlignment="1" applyFont="1">
      <alignment horizontal="right" readingOrder="0" vertical="center"/>
    </xf>
    <xf borderId="0" fillId="4" fontId="8" numFmtId="167" xfId="0" applyAlignment="1" applyFont="1" applyNumberFormat="1">
      <alignment horizontal="center" readingOrder="0"/>
    </xf>
    <xf borderId="0" fillId="4" fontId="1" numFmtId="0" xfId="0" applyAlignment="1" applyFont="1">
      <alignment horizontal="left" readingOrder="0" vertical="center"/>
    </xf>
    <xf borderId="0" fillId="7" fontId="1" numFmtId="164" xfId="0" applyAlignment="1" applyFont="1" applyNumberFormat="1">
      <alignment horizontal="right" readingOrder="0" vertical="center"/>
    </xf>
    <xf borderId="0" fillId="4" fontId="1" numFmtId="0" xfId="0" applyAlignment="1" applyFont="1">
      <alignment readingOrder="0" vertical="center"/>
    </xf>
    <xf borderId="0" fillId="4" fontId="3" numFmtId="0" xfId="0" applyAlignment="1" applyFont="1">
      <alignment vertical="center"/>
    </xf>
    <xf borderId="0" fillId="6" fontId="3" numFmtId="0" xfId="0" applyAlignment="1" applyFont="1">
      <alignment horizontal="left" vertical="center"/>
    </xf>
    <xf borderId="0" fillId="6" fontId="1" numFmtId="167" xfId="0" applyAlignment="1" applyFont="1" applyNumberFormat="1">
      <alignment horizontal="right" readingOrder="0" vertical="center"/>
    </xf>
    <xf borderId="0" fillId="6" fontId="1" numFmtId="167" xfId="0" applyAlignment="1" applyFont="1" applyNumberFormat="1">
      <alignment horizontal="left" readingOrder="0" vertical="center"/>
    </xf>
    <xf borderId="0" fillId="7" fontId="1" numFmtId="167" xfId="0" applyAlignment="1" applyFont="1" applyNumberFormat="1">
      <alignment horizontal="right" readingOrder="0" vertical="center"/>
    </xf>
    <xf borderId="0" fillId="4" fontId="8" numFmtId="0" xfId="0" applyAlignment="1" applyFont="1">
      <alignment horizontal="center" readingOrder="0"/>
    </xf>
    <xf borderId="0" fillId="4" fontId="1" numFmtId="167" xfId="0" applyAlignment="1" applyFont="1" applyNumberFormat="1">
      <alignment horizontal="right" readingOrder="0" vertical="center"/>
    </xf>
    <xf borderId="0" fillId="4" fontId="1" numFmtId="167" xfId="0" applyAlignment="1" applyFont="1" applyNumberFormat="1">
      <alignment horizontal="left" readingOrder="0" vertical="center"/>
    </xf>
    <xf borderId="0" fillId="8" fontId="1" numFmtId="164" xfId="0" applyAlignment="1" applyFont="1" applyNumberFormat="1">
      <alignment horizontal="right" readingOrder="0" vertical="center"/>
    </xf>
    <xf borderId="0" fillId="10" fontId="3" numFmtId="0" xfId="0" applyAlignment="1" applyFont="1">
      <alignment horizontal="left" vertical="center"/>
    </xf>
    <xf borderId="0" fillId="10" fontId="1" numFmtId="167" xfId="0" applyAlignment="1" applyFont="1" applyNumberFormat="1">
      <alignment horizontal="right" readingOrder="0" vertical="center"/>
    </xf>
    <xf borderId="0" fillId="10" fontId="1" numFmtId="167" xfId="0" applyAlignment="1" applyFont="1" applyNumberFormat="1">
      <alignment horizontal="left" readingOrder="0" vertical="center"/>
    </xf>
    <xf borderId="0" fillId="0" fontId="1" numFmtId="0" xfId="0" applyAlignment="1" applyFont="1">
      <alignment vertical="center"/>
    </xf>
    <xf borderId="0" fillId="4" fontId="3" numFmtId="0" xfId="0" applyAlignment="1" applyFont="1">
      <alignment horizontal="left" shrinkToFit="0" vertical="center" wrapText="1"/>
    </xf>
    <xf borderId="0" fillId="4" fontId="3" numFmtId="167" xfId="0" applyAlignment="1" applyFont="1" applyNumberFormat="1">
      <alignment horizontal="right" readingOrder="0" vertical="center"/>
    </xf>
    <xf borderId="0" fillId="4" fontId="3" numFmtId="167" xfId="0" applyAlignment="1" applyFont="1" applyNumberFormat="1">
      <alignment horizontal="left" readingOrder="0" vertical="center"/>
    </xf>
    <xf borderId="0" fillId="7" fontId="3" numFmtId="167" xfId="0" applyAlignment="1" applyFont="1" applyNumberFormat="1">
      <alignment horizontal="right" readingOrder="0" vertical="center"/>
    </xf>
    <xf borderId="0" fillId="6" fontId="3" numFmtId="0" xfId="0" applyAlignment="1" applyFont="1">
      <alignment horizontal="right" readingOrder="0" vertical="center"/>
    </xf>
    <xf borderId="0" fillId="10" fontId="3" numFmtId="0" xfId="0" applyAlignment="1" applyFont="1">
      <alignment horizontal="left" shrinkToFit="0" vertical="center" wrapText="1"/>
    </xf>
    <xf borderId="0" fillId="10" fontId="3" numFmtId="167" xfId="0" applyAlignment="1" applyFont="1" applyNumberFormat="1">
      <alignment horizontal="right" readingOrder="0" vertical="center"/>
    </xf>
    <xf borderId="0" fillId="10" fontId="3" numFmtId="167" xfId="0" applyAlignment="1" applyFont="1" applyNumberFormat="1">
      <alignment horizontal="left" readingOrder="0" vertical="center"/>
    </xf>
    <xf borderId="0" fillId="6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readingOrder="0" vertical="center"/>
    </xf>
    <xf borderId="0" fillId="6" fontId="1" numFmtId="0" xfId="0" applyAlignment="1" applyFont="1">
      <alignment vertical="center"/>
    </xf>
    <xf borderId="0" fillId="6" fontId="3" numFmtId="164" xfId="0" applyAlignment="1" applyFont="1" applyNumberFormat="1">
      <alignment horizontal="right" vertical="center"/>
    </xf>
    <xf borderId="0" fillId="6" fontId="3" numFmtId="164" xfId="0" applyAlignment="1" applyFont="1" applyNumberFormat="1">
      <alignment horizontal="right" readingOrder="0" vertical="center"/>
    </xf>
    <xf borderId="0" fillId="8" fontId="3" numFmtId="0" xfId="0" applyAlignment="1" applyFont="1">
      <alignment readingOrder="0" vertical="center"/>
    </xf>
    <xf borderId="0" fillId="4" fontId="3" numFmtId="0" xfId="0" applyAlignment="1" applyFont="1">
      <alignment horizontal="right" readingOrder="0" vertical="center"/>
    </xf>
    <xf borderId="0" fillId="6" fontId="3" numFmtId="167" xfId="0" applyAlignment="1" applyFont="1" applyNumberFormat="1">
      <alignment horizontal="right" readingOrder="0" vertical="center"/>
    </xf>
    <xf borderId="0" fillId="6" fontId="3" numFmtId="167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7" fontId="8" numFmtId="0" xfId="0" applyAlignment="1" applyFont="1">
      <alignment horizontal="center"/>
    </xf>
    <xf borderId="0" fillId="6" fontId="3" numFmtId="0" xfId="0" applyAlignment="1" applyFont="1">
      <alignment horizontal="left" readingOrder="0" vertical="center"/>
    </xf>
    <xf borderId="0" fillId="6" fontId="1" numFmtId="164" xfId="0" applyAlignment="1" applyFont="1" applyNumberFormat="1">
      <alignment horizontal="right" readingOrder="0"/>
    </xf>
    <xf borderId="0" fillId="8" fontId="1" numFmtId="164" xfId="0" applyAlignment="1" applyFont="1" applyNumberFormat="1">
      <alignment horizontal="right" readingOrder="0"/>
    </xf>
    <xf borderId="0" fillId="6" fontId="1" numFmtId="0" xfId="0" applyAlignment="1" applyFont="1">
      <alignment horizontal="left" readingOrder="0" vertical="center"/>
    </xf>
    <xf borderId="0" fillId="4" fontId="8" numFmtId="0" xfId="0" applyAlignment="1" applyFont="1">
      <alignment horizontal="left" readingOrder="0"/>
    </xf>
    <xf borderId="0" fillId="4" fontId="1" numFmtId="164" xfId="0" applyAlignment="1" applyFont="1" applyNumberFormat="1">
      <alignment horizontal="right" readingOrder="0"/>
    </xf>
    <xf borderId="0" fillId="0" fontId="8" numFmtId="0" xfId="0" applyAlignment="1" applyFont="1">
      <alignment horizontal="right" readingOrder="0" vertical="center"/>
    </xf>
    <xf borderId="0" fillId="10" fontId="8" numFmtId="0" xfId="0" applyFont="1"/>
    <xf borderId="0" fillId="0" fontId="8" numFmtId="169" xfId="0" applyAlignment="1" applyFont="1" applyNumberFormat="1">
      <alignment horizontal="left" readingOrder="0"/>
    </xf>
    <xf borderId="0" fillId="0" fontId="3" numFmtId="170" xfId="0" applyAlignment="1" applyFont="1" applyNumberFormat="1">
      <alignment horizontal="right" vertical="center"/>
    </xf>
    <xf borderId="0" fillId="2" fontId="2" numFmtId="0" xfId="0" applyAlignment="1" applyFont="1">
      <alignment horizontal="left" readingOrder="0" vertical="center"/>
    </xf>
    <xf borderId="14" fillId="2" fontId="2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ont="1">
      <alignment horizontal="left" readingOrder="0" vertical="center"/>
    </xf>
    <xf borderId="0" fillId="3" fontId="3" numFmtId="0" xfId="0" applyAlignment="1" applyFont="1">
      <alignment horizontal="left" vertical="center"/>
    </xf>
    <xf borderId="0" fillId="4" fontId="3" numFmtId="170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  <xf borderId="0" fillId="4" fontId="10" numFmtId="167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4" fontId="1" numFmtId="164" xfId="0" applyAlignment="1" applyFont="1" applyNumberFormat="1">
      <alignment horizontal="right" vertical="center"/>
    </xf>
    <xf borderId="0" fillId="4" fontId="1" numFmtId="164" xfId="0" applyAlignment="1" applyFont="1" applyNumberFormat="1">
      <alignment horizontal="center" vertical="center"/>
    </xf>
    <xf borderId="0" fillId="6" fontId="8" numFmtId="0" xfId="0" applyAlignment="1" applyFont="1">
      <alignment readingOrder="0" vertical="center"/>
    </xf>
    <xf borderId="0" fillId="0" fontId="3" numFmtId="167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vertical="center"/>
    </xf>
    <xf borderId="0" fillId="0" fontId="8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vertical="center"/>
    </xf>
    <xf borderId="0" fillId="4" fontId="2" numFmtId="167" xfId="0" applyAlignment="1" applyFont="1" applyNumberFormat="1">
      <alignment horizontal="left" readingOrder="0" vertical="center"/>
    </xf>
    <xf borderId="0" fillId="6" fontId="8" numFmtId="0" xfId="0" applyAlignment="1" applyFont="1">
      <alignment readingOrder="0"/>
    </xf>
    <xf borderId="0" fillId="0" fontId="1" numFmtId="0" xfId="0" applyAlignment="1" applyFont="1">
      <alignment horizontal="right" readingOrder="0" vertical="center"/>
    </xf>
    <xf borderId="0" fillId="10" fontId="8" numFmtId="0" xfId="0" applyAlignment="1" applyFont="1">
      <alignment vertical="center"/>
    </xf>
    <xf borderId="0" fillId="10" fontId="3" numFmtId="164" xfId="0" applyAlignment="1" applyFont="1" applyNumberFormat="1">
      <alignment horizontal="right" vertical="center"/>
    </xf>
    <xf borderId="0" fillId="1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4" fontId="3" numFmtId="164" xfId="0" applyAlignment="1" applyFont="1" applyNumberFormat="1">
      <alignment horizontal="right" vertical="center"/>
    </xf>
    <xf borderId="14" fillId="2" fontId="2" numFmtId="0" xfId="0" applyAlignment="1" applyBorder="1" applyFont="1">
      <alignment horizontal="left" readingOrder="0" vertical="center"/>
    </xf>
    <xf borderId="0" fillId="0" fontId="8" numFmtId="165" xfId="0" applyAlignment="1" applyFont="1" applyNumberFormat="1">
      <alignment horizontal="right" readingOrder="0" vertical="center"/>
    </xf>
    <xf borderId="0" fillId="4" fontId="3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left" readingOrder="0" vertical="center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right" readingOrder="0" vertical="center"/>
    </xf>
    <xf borderId="0" fillId="12" fontId="2" numFmtId="0" xfId="0" applyAlignment="1" applyFill="1" applyFont="1">
      <alignment horizontal="center" vertical="center"/>
    </xf>
    <xf borderId="0" fillId="4" fontId="10" numFmtId="0" xfId="0" applyAlignment="1" applyFont="1">
      <alignment horizontal="left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8" numFmtId="0" xfId="0" applyAlignment="1" applyFont="1">
      <alignment readingOrder="0"/>
    </xf>
    <xf borderId="0" fillId="6" fontId="3" numFmtId="0" xfId="0" applyAlignment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6" fontId="1" numFmtId="164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center" readingOrder="0" vertical="center"/>
    </xf>
    <xf borderId="0" fillId="6" fontId="1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5" fontId="8" numFmtId="0" xfId="0" applyAlignment="1" applyFont="1">
      <alignment readingOrder="0"/>
    </xf>
    <xf borderId="0" fillId="5" fontId="8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/>
    </xf>
    <xf borderId="0" fillId="5" fontId="1" numFmtId="165" xfId="0" applyAlignment="1" applyFont="1" applyNumberFormat="1">
      <alignment horizontal="right" readingOrder="0"/>
    </xf>
    <xf borderId="0" fillId="6" fontId="2" numFmtId="167" xfId="0" applyAlignment="1" applyFont="1" applyNumberFormat="1">
      <alignment horizontal="left" readingOrder="0" vertical="center"/>
    </xf>
    <xf borderId="0" fillId="4" fontId="15" numFmtId="165" xfId="0" applyAlignment="1" applyFont="1" applyNumberFormat="1">
      <alignment vertical="center"/>
    </xf>
    <xf borderId="0" fillId="4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10" fontId="3" numFmtId="164" xfId="0" applyAlignment="1" applyFont="1" applyNumberFormat="1">
      <alignment horizontal="center" readingOrder="0" vertical="bottom"/>
    </xf>
    <xf borderId="0" fillId="1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6" fontId="3" numFmtId="164" xfId="0" applyAlignment="1" applyFont="1" applyNumberFormat="1">
      <alignment horizontal="center" vertical="center"/>
    </xf>
    <xf borderId="0" fillId="0" fontId="1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4" fontId="15" numFmtId="164" xfId="0" applyAlignment="1" applyFont="1" applyNumberFormat="1">
      <alignment vertical="bottom"/>
    </xf>
    <xf borderId="0" fillId="4" fontId="15" numFmtId="165" xfId="0" applyAlignment="1" applyFont="1" applyNumberFormat="1">
      <alignment vertical="bottom"/>
    </xf>
    <xf borderId="0" fillId="0" fontId="1" numFmtId="0" xfId="0" applyAlignment="1" applyFont="1">
      <alignment horizontal="right" readingOrder="0"/>
    </xf>
    <xf borderId="0" fillId="4" fontId="15" numFmtId="0" xfId="0" applyAlignment="1" applyFont="1">
      <alignment vertical="bottom"/>
    </xf>
    <xf borderId="0" fillId="8" fontId="1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0" fontId="2" numFmtId="167" xfId="0" applyAlignment="1" applyFont="1" applyNumberFormat="1">
      <alignment horizontal="left" vertical="bottom"/>
    </xf>
    <xf borderId="0" fillId="0" fontId="3" numFmtId="0" xfId="0" applyAlignment="1" applyFont="1">
      <alignment shrinkToFit="0" vertical="bottom" wrapText="1"/>
    </xf>
    <xf borderId="0" fillId="5" fontId="1" numFmtId="0" xfId="0" applyAlignment="1" applyFont="1">
      <alignment horizontal="right" readingOrder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10" fontId="15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1"/>
    </xf>
    <xf borderId="0" fillId="4" fontId="1" numFmtId="168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center" readingOrder="0" vertical="center"/>
    </xf>
    <xf borderId="0" fillId="4" fontId="3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vertical="center"/>
    </xf>
    <xf borderId="0" fillId="6" fontId="1" numFmtId="0" xfId="0" applyAlignment="1" applyFont="1">
      <alignment horizontal="right" readingOrder="0" vertical="center"/>
    </xf>
    <xf borderId="0" fillId="6" fontId="1" numFmtId="164" xfId="0" applyAlignment="1" applyFont="1" applyNumberFormat="1">
      <alignment horizontal="right" readingOrder="0" vertical="center"/>
    </xf>
    <xf borderId="0" fillId="6" fontId="1" numFmtId="164" xfId="0" applyAlignment="1" applyFont="1" applyNumberFormat="1">
      <alignment horizontal="center" readingOrder="0" vertical="center"/>
    </xf>
    <xf borderId="0" fillId="4" fontId="3" numFmtId="0" xfId="0" applyAlignment="1" applyFont="1">
      <alignment readingOrder="0" vertical="bottom"/>
    </xf>
    <xf borderId="0" fillId="4" fontId="8" numFmtId="169" xfId="0" applyAlignment="1" applyFont="1" applyNumberFormat="1">
      <alignment horizontal="left" readingOrder="0"/>
    </xf>
    <xf borderId="0" fillId="6" fontId="3" numFmtId="0" xfId="0" applyAlignment="1" applyFont="1">
      <alignment horizontal="center" vertical="center"/>
    </xf>
    <xf borderId="0" fillId="4" fontId="8" numFmtId="165" xfId="0" applyAlignment="1" applyFont="1" applyNumberFormat="1">
      <alignment readingOrder="0"/>
    </xf>
    <xf borderId="0" fillId="10" fontId="1" numFmtId="0" xfId="0" applyAlignment="1" applyFont="1">
      <alignment vertical="center"/>
    </xf>
    <xf borderId="0" fillId="0" fontId="8" numFmtId="170" xfId="0" applyAlignment="1" applyFont="1" applyNumberFormat="1">
      <alignment readingOrder="0"/>
    </xf>
    <xf borderId="0" fillId="0" fontId="8" numFmtId="170" xfId="0" applyAlignment="1" applyFont="1" applyNumberFormat="1">
      <alignment horizontal="center" readingOrder="0"/>
    </xf>
    <xf borderId="0" fillId="4" fontId="8" numFmtId="170" xfId="0" applyAlignment="1" applyFont="1" applyNumberFormat="1">
      <alignment readingOrder="0"/>
    </xf>
    <xf borderId="0" fillId="4" fontId="8" numFmtId="170" xfId="0" applyAlignment="1" applyFont="1" applyNumberFormat="1">
      <alignment horizontal="center" readingOrder="0"/>
    </xf>
    <xf borderId="0" fillId="6" fontId="7" numFmtId="0" xfId="0" applyAlignment="1" applyFont="1">
      <alignment readingOrder="0"/>
    </xf>
    <xf borderId="0" fillId="6" fontId="8" numFmtId="165" xfId="0" applyAlignment="1" applyFont="1" applyNumberFormat="1">
      <alignment readingOrder="0"/>
    </xf>
    <xf borderId="0" fillId="6" fontId="8" numFmtId="165" xfId="0" applyAlignment="1" applyFont="1" applyNumberFormat="1">
      <alignment horizontal="center" readingOrder="0"/>
    </xf>
    <xf borderId="0" fillId="6" fontId="8" numFmtId="0" xfId="0" applyFont="1"/>
    <xf borderId="0" fillId="0" fontId="8" numFmtId="0" xfId="0" applyAlignment="1" applyFont="1">
      <alignment readingOrder="0" vertical="center"/>
    </xf>
    <xf borderId="0" fillId="4" fontId="7" numFmtId="0" xfId="0" applyAlignment="1" applyFont="1">
      <alignment readingOrder="0"/>
    </xf>
    <xf borderId="0" fillId="4" fontId="3" numFmtId="164" xfId="0" applyAlignment="1" applyFont="1" applyNumberFormat="1">
      <alignment readingOrder="0" vertical="bottom"/>
    </xf>
    <xf borderId="0" fillId="4" fontId="8" numFmtId="165" xfId="0" applyAlignment="1" applyFont="1" applyNumberFormat="1">
      <alignment horizontal="right" readingOrder="0"/>
    </xf>
    <xf borderId="0" fillId="4" fontId="3" numFmtId="14" xfId="0" applyAlignment="1" applyFont="1" applyNumberFormat="1">
      <alignment horizontal="right" vertical="bottom"/>
    </xf>
    <xf borderId="0" fillId="7" fontId="3" numFmtId="0" xfId="0" applyAlignment="1" applyFont="1">
      <alignment horizontal="center"/>
    </xf>
    <xf borderId="0" fillId="7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165" xfId="0" applyAlignment="1" applyFont="1" applyNumberFormat="1">
      <alignment horizontal="right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bottom"/>
    </xf>
    <xf borderId="0" fillId="0" fontId="3" numFmtId="168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4" fontId="3" numFmtId="0" xfId="0" applyAlignment="1" applyFont="1">
      <alignment horizontal="left" readingOrder="0" vertical="bottom"/>
    </xf>
    <xf borderId="0" fillId="4" fontId="3" numFmtId="168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vertical="bottom"/>
    </xf>
    <xf borderId="0" fillId="4" fontId="3" numFmtId="171" xfId="0" applyAlignment="1" applyFont="1" applyNumberFormat="1">
      <alignment horizontal="right" vertical="bottom"/>
    </xf>
    <xf borderId="0" fillId="4" fontId="8" numFmtId="0" xfId="0" applyAlignment="1" applyFont="1">
      <alignment horizontal="center" readingOrder="0" vertical="center"/>
    </xf>
    <xf borderId="0" fillId="4" fontId="8" numFmtId="165" xfId="0" applyAlignment="1" applyFont="1" applyNumberFormat="1">
      <alignment horizontal="center" readingOrder="0" vertical="center"/>
    </xf>
    <xf borderId="0" fillId="10" fontId="3" numFmtId="0" xfId="0" applyAlignment="1" applyFont="1">
      <alignment readingOrder="0" vertical="bottom"/>
    </xf>
    <xf borderId="0" fillId="10" fontId="3" numFmtId="0" xfId="0" applyAlignment="1" applyFont="1">
      <alignment horizontal="left" readingOrder="0" vertical="bottom"/>
    </xf>
    <xf borderId="0" fillId="10" fontId="3" numFmtId="168" xfId="0" applyAlignment="1" applyFont="1" applyNumberFormat="1">
      <alignment horizontal="right" readingOrder="0" vertical="bottom"/>
    </xf>
    <xf borderId="0" fillId="0" fontId="8" numFmtId="170" xfId="0" applyAlignment="1" applyFont="1" applyNumberFormat="1">
      <alignment horizontal="center" readingOrder="0" vertical="center"/>
    </xf>
    <xf borderId="0" fillId="8" fontId="3" numFmtId="0" xfId="0" applyAlignment="1" applyFont="1">
      <alignment horizontal="right" readingOrder="0" vertical="bottom"/>
    </xf>
    <xf borderId="0" fillId="4" fontId="8" numFmtId="170" xfId="0" applyAlignment="1" applyFont="1" applyNumberFormat="1">
      <alignment horizontal="center" readingOrder="0" vertical="center"/>
    </xf>
    <xf borderId="0" fillId="6" fontId="7" numFmtId="0" xfId="0" applyAlignment="1" applyFont="1">
      <alignment readingOrder="0" vertical="center"/>
    </xf>
    <xf borderId="0" fillId="6" fontId="8" numFmtId="0" xfId="0" applyAlignment="1" applyFont="1">
      <alignment horizontal="center" readingOrder="0" vertical="center"/>
    </xf>
    <xf borderId="0" fillId="6" fontId="8" numFmtId="165" xfId="0" applyAlignment="1" applyFont="1" applyNumberFormat="1">
      <alignment horizontal="center" readingOrder="0" vertical="center"/>
    </xf>
    <xf borderId="0" fillId="6" fontId="8" numFmtId="0" xfId="0" applyAlignment="1" applyFont="1">
      <alignment vertical="center"/>
    </xf>
    <xf borderId="0" fillId="13" fontId="7" numFmtId="0" xfId="0" applyAlignment="1" applyFill="1" applyFont="1">
      <alignment horizontal="center" readingOrder="0"/>
    </xf>
    <xf borderId="0" fillId="4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10" fontId="8" numFmtId="0" xfId="0" applyAlignment="1" applyFont="1">
      <alignment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0" fontId="8" numFmtId="0" xfId="0" applyAlignment="1" applyFont="1">
      <alignment horizontal="right" readingOrder="0" vertical="center"/>
    </xf>
    <xf borderId="0" fillId="4" fontId="7" numFmtId="167" xfId="0" applyAlignment="1" applyFont="1" applyNumberFormat="1">
      <alignment horizontal="left" readingOrder="0"/>
    </xf>
    <xf borderId="0" fillId="4" fontId="8" numFmtId="165" xfId="0" applyAlignment="1" applyFont="1" applyNumberFormat="1">
      <alignment horizontal="right" readingOrder="0" vertical="center"/>
    </xf>
    <xf borderId="0" fillId="4" fontId="3" numFmtId="172" xfId="0" applyAlignment="1" applyFont="1" applyNumberFormat="1">
      <alignment vertical="center"/>
    </xf>
    <xf borderId="0" fillId="0" fontId="8" numFmtId="165" xfId="0" applyAlignment="1" applyFont="1" applyNumberFormat="1">
      <alignment readingOrder="0"/>
    </xf>
    <xf borderId="0" fillId="10" fontId="8" numFmtId="165" xfId="0" applyAlignment="1" applyFont="1" applyNumberFormat="1">
      <alignment horizontal="right" readingOrder="0" vertical="center"/>
    </xf>
    <xf borderId="0" fillId="10" fontId="3" numFmtId="164" xfId="0" applyAlignment="1" applyFont="1" applyNumberFormat="1">
      <alignment horizontal="right" readingOrder="0" vertical="center"/>
    </xf>
    <xf borderId="0" fillId="4" fontId="8" numFmtId="0" xfId="0" applyAlignment="1" applyFont="1">
      <alignment horizontal="center" vertical="center"/>
    </xf>
    <xf borderId="0" fillId="4" fontId="3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readingOrder="0" vertical="bottom"/>
    </xf>
    <xf borderId="0" fillId="0" fontId="8" numFmtId="0" xfId="0" applyAlignment="1" applyFont="1">
      <alignment readingOrder="0" shrinkToFit="0" vertical="center" wrapText="0"/>
    </xf>
    <xf borderId="0" fillId="0" fontId="8" numFmtId="165" xfId="0" applyAlignment="1" applyFont="1" applyNumberFormat="1">
      <alignment readingOrder="0" vertical="center"/>
    </xf>
    <xf borderId="0" fillId="4" fontId="8" numFmtId="168" xfId="0" applyAlignment="1" applyFont="1" applyNumberFormat="1">
      <alignment readingOrder="0" vertical="center"/>
    </xf>
    <xf borderId="0" fillId="4" fontId="8" numFmtId="165" xfId="0" applyAlignment="1" applyFont="1" applyNumberFormat="1">
      <alignment readingOrder="0" vertical="center"/>
    </xf>
    <xf borderId="0" fillId="0" fontId="8" numFmtId="168" xfId="0" applyAlignment="1" applyFont="1" applyNumberFormat="1">
      <alignment readingOrder="0" vertical="center"/>
    </xf>
    <xf borderId="0" fillId="4" fontId="8" numFmtId="168" xfId="0" applyAlignment="1" applyFont="1" applyNumberFormat="1">
      <alignment horizontal="right" readingOrder="0" vertical="center"/>
    </xf>
    <xf borderId="0" fillId="0" fontId="8" numFmtId="168" xfId="0" applyAlignment="1" applyFont="1" applyNumberFormat="1">
      <alignment horizontal="right" readingOrder="0" vertical="center"/>
    </xf>
    <xf borderId="0" fillId="0" fontId="10" numFmtId="0" xfId="0" applyAlignment="1" applyFont="1">
      <alignment horizontal="left"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10" fontId="1" numFmtId="0" xfId="0" applyAlignment="1" applyFont="1">
      <alignment readingOrder="0" vertical="center"/>
    </xf>
    <xf borderId="0" fillId="10" fontId="3" numFmtId="0" xfId="0" applyAlignment="1" applyFont="1">
      <alignment horizontal="left" readingOrder="0" vertical="center"/>
    </xf>
    <xf borderId="0" fillId="10" fontId="3" numFmtId="0" xfId="0" applyAlignment="1" applyFont="1">
      <alignment horizontal="center" readingOrder="0" vertical="center"/>
    </xf>
    <xf borderId="0" fillId="10" fontId="3" numFmtId="164" xfId="0" applyAlignment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left" readingOrder="0" shrinkToFit="0" vertical="center" wrapText="1"/>
    </xf>
    <xf borderId="0" fillId="6" fontId="2" numFmtId="0" xfId="0" applyAlignment="1" applyFont="1">
      <alignment horizontal="left" readingOrder="0" vertical="center"/>
    </xf>
    <xf borderId="0" fillId="6" fontId="3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readingOrder="0" vertical="center"/>
    </xf>
    <xf borderId="0" fillId="4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right"/>
    </xf>
    <xf borderId="14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7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3" fontId="1" numFmtId="0" xfId="0" applyAlignment="1" applyFont="1">
      <alignment vertical="center"/>
    </xf>
    <xf borderId="0" fillId="4" fontId="3" numFmtId="0" xfId="0" applyAlignment="1" applyFont="1">
      <alignment shrinkToFit="0" vertical="center" wrapText="1"/>
    </xf>
    <xf borderId="0" fillId="4" fontId="1" numFmtId="0" xfId="0" applyAlignment="1" applyFont="1">
      <alignment vertical="center"/>
    </xf>
    <xf borderId="0" fillId="6" fontId="3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73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8" numFmtId="165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Font="1"/>
    <xf borderId="0" fillId="0" fontId="8" numFmtId="49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3" pivot="0" name="Sheet 1-style">
      <tableStyleElement dxfId="1" type="headerRow"/>
      <tableStyleElement dxfId="2" type="firstRowStripe"/>
      <tableStyleElement dxfId="3" type="secondRowStripe"/>
    </tableStyle>
    <tableStyle count="3" pivot="0" name="Sheet 1-style 2">
      <tableStyleElement dxfId="1" type="headerRow"/>
      <tableStyleElement dxfId="2" type="firstRowStripe"/>
      <tableStyleElement dxfId="3" type="secondRowStripe"/>
    </tableStyle>
    <tableStyle count="3" pivot="0" name="Sheet 1-style 3">
      <tableStyleElement dxfId="1" type="headerRow"/>
      <tableStyleElement dxfId="2" type="firstRowStripe"/>
      <tableStyleElement dxfId="3" type="secondRowStripe"/>
    </tableStyle>
    <tableStyle count="3" pivot="0" name="Sheet 1-style 4">
      <tableStyleElement dxfId="1" type="headerRow"/>
      <tableStyleElement dxfId="2" type="firstRowStripe"/>
      <tableStyleElement dxfId="3" type="secondRowStripe"/>
    </tableStyle>
    <tableStyle count="3" pivot="0" name="Sheet 1-style 5">
      <tableStyleElement dxfId="1" type="headerRow"/>
      <tableStyleElement dxfId="2" type="firstRowStripe"/>
      <tableStyleElement dxfId="3" type="secondRowStripe"/>
    </tableStyle>
    <tableStyle count="3" pivot="0" name="Sheet 1-style 6">
      <tableStyleElement dxfId="1" type="headerRow"/>
      <tableStyleElement dxfId="2" type="firstRowStripe"/>
      <tableStyleElement dxfId="3" type="secondRowStripe"/>
    </tableStyle>
    <tableStyle count="4" pivot="0" name="SILO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SILO (auto_sync)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E41" displayName="Table_1" name="Table_1" id="1">
  <tableColumns count="4">
    <tableColumn name="Project/Branch" id="1"/>
    <tableColumn name="Admin/PIC" id="2"/>
    <tableColumn name="Kontrak" id="3"/>
    <tableColumn name="Status" id="4"/>
  </tableColumns>
  <tableStyleInfo name="Sheet 1-style" showColumnStripes="0" showFirstColumn="1" showLastColumn="1" showRowStripes="1"/>
</table>
</file>

<file path=xl/tables/table2.xml><?xml version="1.0" encoding="utf-8"?>
<table xmlns="http://schemas.openxmlformats.org/spreadsheetml/2006/main" ref="G3:K20" displayName="Table_2" name="Table_2" id="2">
  <tableColumns count="5">
    <tableColumn name="Perjanjian Sewa Menyewa" id="1"/>
    <tableColumn name="Pihak/Para Pihak" id="2"/>
    <tableColumn name="Tanggal Mulai" id="3"/>
    <tableColumn name="Tanggal Selesai" id="4"/>
    <tableColumn name="Keterangan" id="5"/>
  </tableColumns>
  <tableStyleInfo name="Sheet 1-style 2" showColumnStripes="0" showFirstColumn="1" showLastColumn="1" showRowStripes="1"/>
</table>
</file>

<file path=xl/tables/table3.xml><?xml version="1.0" encoding="utf-8"?>
<table xmlns="http://schemas.openxmlformats.org/spreadsheetml/2006/main" ref="G23:K43" displayName="Table_3" name="Table_3" id="3">
  <tableColumns count="5">
    <tableColumn name="Project PTFI" id="1"/>
    <tableColumn name="Nomor Regist Project" id="2"/>
    <tableColumn name="Pihak" id="3"/>
    <tableColumn name="Tanggal Review" id="4"/>
    <tableColumn name="Keterangan" id="5"/>
  </tableColumns>
  <tableStyleInfo name="Sheet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4:E4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heet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G46:K50" displayName="Table_5" name="Table_5" id="5">
  <tableColumns count="5">
    <tableColumn name="Keterangan Domisili Usaha" id="1"/>
    <tableColumn name="Pihak yang Mengeluarkan" id="2"/>
    <tableColumn name="Tanggal Aktif" id="3"/>
    <tableColumn name="Tanggal Habis" id="4"/>
    <tableColumn name="Keterangan" id="5"/>
  </tableColumns>
  <tableStyleInfo name="Sheet 1-style 5" showColumnStripes="0" showFirstColumn="1" showLastColumn="1" showRowStripes="1"/>
</table>
</file>

<file path=xl/tables/table6.xml><?xml version="1.0" encoding="utf-8"?>
<table xmlns="http://schemas.openxmlformats.org/spreadsheetml/2006/main" ref="G53:K60" displayName="Table_6" name="Table_6" id="6">
  <tableColumns count="5">
    <tableColumn name="Surat Masuk" id="1"/>
    <tableColumn name="Dinas-Lembaga/APH" id="2"/>
    <tableColumn name="Nomor Register" id="3"/>
    <tableColumn name="Tanggal Pelaksanaan" id="4"/>
    <tableColumn name="Status" id="5"/>
  </tableColumns>
  <tableStyleInfo name="Sheet 1-style 6" showColumnStripes="0" showFirstColumn="1" showLastColumn="1" showRowStripes="1"/>
</table>
</file>

<file path=xl/tables/table7.xml><?xml version="1.0" encoding="utf-8"?>
<table xmlns="http://schemas.openxmlformats.org/spreadsheetml/2006/main" ref="A1:H65" displayName="Table1" name="Table1" id="7">
  <tableColumns count="8">
    <tableColumn name="Jenis Equipment" id="1"/>
    <tableColumn name="Item SILO" id="2"/>
    <tableColumn name="Tahun Pembuatan" id="3"/>
    <tableColumn name="Expired Date" id="4"/>
    <tableColumn name="Sisa Hari_x000a_(s.d Exp Date)" id="5"/>
    <tableColumn name="Tanggal Pengajuan Perpanjangan" id="6"/>
    <tableColumn name="Lokasi" id="7"/>
    <tableColumn name="Keterangan" id="8"/>
  </tableColumns>
  <tableStyleInfo name="SILO-style" showColumnStripes="0" showFirstColumn="1" showLastColumn="1" showRowStripes="1"/>
</table>
</file>

<file path=xl/tables/table8.xml><?xml version="1.0" encoding="utf-8"?>
<table xmlns="http://schemas.openxmlformats.org/spreadsheetml/2006/main" ref="A1:H65" displayName="Table1_2" name="Table1_2" id="8">
  <tableColumns count="8">
    <tableColumn name="Jenis Equipment" id="1"/>
    <tableColumn name="Item SILO" id="2"/>
    <tableColumn name="Tahun Pembuatan" id="3"/>
    <tableColumn name="Expired Date" id="4"/>
    <tableColumn name="Sisa Hari_x000a_(s.d Exp Date)" id="5"/>
    <tableColumn name="Tanggal Pengajuan Perpanjangan" id="6"/>
    <tableColumn name="Lokasi" id="7"/>
    <tableColumn name="Keterangan" id="8"/>
  </tableColumns>
  <tableStyleInfo name="SILO (auto_sync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IVrvaQz661sYGgwBoDrjJfr1HS89vET/view?usp=drive_link" TargetMode="External"/><Relationship Id="rId42" Type="http://schemas.openxmlformats.org/officeDocument/2006/relationships/hyperlink" Target="https://drive.google.com/drive/folders/11r7y7p_IQ-UQ5Xhj1Lbe1WMV25_IZpst?usp=sharing" TargetMode="External"/><Relationship Id="rId41" Type="http://schemas.openxmlformats.org/officeDocument/2006/relationships/hyperlink" Target="https://drive.google.com/file/d/1uDs8I1BuRTjumUDVEjtZKE6VJ3tX3LQJ/view?usp=drive_link" TargetMode="External"/><Relationship Id="rId44" Type="http://schemas.openxmlformats.org/officeDocument/2006/relationships/hyperlink" Target="https://drive.google.com/drive/folders/11r7y7p_IQ-UQ5Xhj1Lbe1WMV25_IZpst?usp=sharing" TargetMode="External"/><Relationship Id="rId43" Type="http://schemas.openxmlformats.org/officeDocument/2006/relationships/hyperlink" Target="https://drive.google.com/drive/folders/11r7y7p_IQ-UQ5Xhj1Lbe1WMV25_IZpst?usp=sharing" TargetMode="External"/><Relationship Id="rId46" Type="http://schemas.openxmlformats.org/officeDocument/2006/relationships/hyperlink" Target="https://drive.google.com/drive/folders/11r7y7p_IQ-UQ5Xhj1Lbe1WMV25_IZpst?usp=sharing" TargetMode="External"/><Relationship Id="rId45" Type="http://schemas.openxmlformats.org/officeDocument/2006/relationships/hyperlink" Target="https://drive.google.com/drive/folders/11r7y7p_IQ-UQ5Xhj1Lbe1WMV25_IZpst?usp=sharing" TargetMode="External"/><Relationship Id="rId1" Type="http://schemas.openxmlformats.org/officeDocument/2006/relationships/hyperlink" Target="https://drive.google.com/file/d/11CerfbR-6amQQ9V3ynRAQ0bp-x0iD6KO/view?usp=sharing" TargetMode="External"/><Relationship Id="rId2" Type="http://schemas.openxmlformats.org/officeDocument/2006/relationships/hyperlink" Target="https://drive.google.com/drive/folders/1WpzbZq5OQmP-lkC-NEDao5lVfyJZDnkI?usp=drive_link" TargetMode="External"/><Relationship Id="rId3" Type="http://schemas.openxmlformats.org/officeDocument/2006/relationships/hyperlink" Target="https://drive.google.com/drive/folders/1Pl4sKoo05suIiaMqhB-hEa_4k9_nYFhX?usp=drive_link" TargetMode="External"/><Relationship Id="rId4" Type="http://schemas.openxmlformats.org/officeDocument/2006/relationships/hyperlink" Target="https://drive.google.com/drive/folders/1TOuLyhvQe7CoPB4L8ddJWURNKJLxSI9c?usp=drive_link" TargetMode="External"/><Relationship Id="rId9" Type="http://schemas.openxmlformats.org/officeDocument/2006/relationships/hyperlink" Target="https://drive.google.com/drive/folders/1SxsqwIDZ7cQguhEw5q--_s8NyS1LEMUE?usp=drive_link" TargetMode="External"/><Relationship Id="rId48" Type="http://schemas.openxmlformats.org/officeDocument/2006/relationships/hyperlink" Target="https://drive.google.com/drive/folders/11r7y7p_IQ-UQ5Xhj1Lbe1WMV25_IZpst?usp=sharing" TargetMode="External"/><Relationship Id="rId47" Type="http://schemas.openxmlformats.org/officeDocument/2006/relationships/hyperlink" Target="https://drive.google.com/drive/folders/11r7y7p_IQ-UQ5Xhj1Lbe1WMV25_IZpst?usp=sharing" TargetMode="External"/><Relationship Id="rId49" Type="http://schemas.openxmlformats.org/officeDocument/2006/relationships/hyperlink" Target="https://drive.google.com/file/d/1kArpYK6tmeT-yb2QKIKC0P2AkObL_HP9/view?usp=sharing" TargetMode="External"/><Relationship Id="rId5" Type="http://schemas.openxmlformats.org/officeDocument/2006/relationships/hyperlink" Target="https://drive.google.com/drive/folders/1eFRkusvr_QjGZnY64f1x6CrG4pS7NXWb?usp=drive_link" TargetMode="External"/><Relationship Id="rId6" Type="http://schemas.openxmlformats.org/officeDocument/2006/relationships/hyperlink" Target="https://drive.google.com/drive/folders/1T4z7PYEY07zT7uPZ08jVWzDbie4Wpy9Q?usp=drive_link" TargetMode="External"/><Relationship Id="rId7" Type="http://schemas.openxmlformats.org/officeDocument/2006/relationships/hyperlink" Target="https://drive.google.com/drive/folders/16TFCgH6b4zzZizNTVRkkJhx1gI4lQNr1?usp=drive_link" TargetMode="External"/><Relationship Id="rId8" Type="http://schemas.openxmlformats.org/officeDocument/2006/relationships/hyperlink" Target="https://drive.google.com/drive/folders/1fv3w-VqtPc7RQz_kjqfYvc2K_gssfNKa?usp=drive_link" TargetMode="External"/><Relationship Id="rId31" Type="http://schemas.openxmlformats.org/officeDocument/2006/relationships/hyperlink" Target="https://drive.google.com/file/d/1_NIpYzZeOYjFUuiXHDMCFLlDhOsVEWnn/view?usp=drive_link" TargetMode="External"/><Relationship Id="rId30" Type="http://schemas.openxmlformats.org/officeDocument/2006/relationships/hyperlink" Target="https://drive.google.com/file/d/1M0VynBtdKlekgNh1UD8spE0iIKeK70LL/view?usp=drive_link" TargetMode="External"/><Relationship Id="rId33" Type="http://schemas.openxmlformats.org/officeDocument/2006/relationships/hyperlink" Target="https://drive.google.com/file/d/1ARQKAoIYJScoeBBarUWD9efWiG73f9U4/view?usp=drive_link" TargetMode="External"/><Relationship Id="rId32" Type="http://schemas.openxmlformats.org/officeDocument/2006/relationships/hyperlink" Target="https://drive.google.com/file/d/1UAAPvj3nI3xcswX1EBvKZtNEsQ7Pzkpj/view?usp=drive_link" TargetMode="External"/><Relationship Id="rId35" Type="http://schemas.openxmlformats.org/officeDocument/2006/relationships/hyperlink" Target="https://drive.google.com/file/d/1cGhrsfyOuuRNc-KVyI0NBuIwXo33h_zt/view?usp=drive_link" TargetMode="External"/><Relationship Id="rId34" Type="http://schemas.openxmlformats.org/officeDocument/2006/relationships/hyperlink" Target="https://drive.google.com/file/d/1o06eeJ2vCfbWvjPH_kIwlN7rluZ0jPoM/view?usp=drive_link" TargetMode="External"/><Relationship Id="rId37" Type="http://schemas.openxmlformats.org/officeDocument/2006/relationships/hyperlink" Target="https://drive.google.com/file/d/1dxG15MLy5Q3SZ_wom-NSkrvwGiV7P1iQ/view?usp=sharing" TargetMode="External"/><Relationship Id="rId36" Type="http://schemas.openxmlformats.org/officeDocument/2006/relationships/hyperlink" Target="https://drive.google.com/file/d/1GJvPhjrr_zSUU88l90OKHBF6dd35XsDT/view?usp=drive_link" TargetMode="External"/><Relationship Id="rId39" Type="http://schemas.openxmlformats.org/officeDocument/2006/relationships/hyperlink" Target="https://drive.google.com/file/d/1rPQDBgE1dfxaZLPiGckrnq2RBKAtEfXP/view?usp=drive_link" TargetMode="External"/><Relationship Id="rId38" Type="http://schemas.openxmlformats.org/officeDocument/2006/relationships/hyperlink" Target="https://drive.google.com/file/d/1dxG15MLy5Q3SZ_wom-NSkrvwGiV7P1iQ/view?usp=sharing" TargetMode="External"/><Relationship Id="rId62" Type="http://schemas.openxmlformats.org/officeDocument/2006/relationships/hyperlink" Target="https://drive.google.com/drive/folders/1fJyfi13HH581weHNVugLYYFNwV28m9Si?usp=drive_link" TargetMode="External"/><Relationship Id="rId61" Type="http://schemas.openxmlformats.org/officeDocument/2006/relationships/hyperlink" Target="https://drive.google.com/drive/folders/1fJyfi13HH581weHNVugLYYFNwV28m9Si?usp=drive_link" TargetMode="External"/><Relationship Id="rId20" Type="http://schemas.openxmlformats.org/officeDocument/2006/relationships/hyperlink" Target="https://drive.google.com/file/d/15lGFMd2NKy7BMZOaCCpB6_DHU1YL0Yin/view?usp=drive_link" TargetMode="External"/><Relationship Id="rId64" Type="http://schemas.openxmlformats.org/officeDocument/2006/relationships/hyperlink" Target="https://drive.google.com/drive/folders/1fJyfi13HH581weHNVugLYYFNwV28m9Si?usp=drive_link" TargetMode="External"/><Relationship Id="rId63" Type="http://schemas.openxmlformats.org/officeDocument/2006/relationships/hyperlink" Target="https://drive.google.com/drive/folders/1fJyfi13HH581weHNVugLYYFNwV28m9Si?usp=drive_link" TargetMode="External"/><Relationship Id="rId22" Type="http://schemas.openxmlformats.org/officeDocument/2006/relationships/hyperlink" Target="https://drive.google.com/file/d/15lGFMd2NKy7BMZOaCCpB6_DHU1YL0Yin/view?usp=drive_link" TargetMode="External"/><Relationship Id="rId21" Type="http://schemas.openxmlformats.org/officeDocument/2006/relationships/hyperlink" Target="https://drive.google.com/file/d/1mJYRp0YlGnmzFbb-6Xlfl1Yzs2znyNJL/view?usp=drive_link" TargetMode="External"/><Relationship Id="rId65" Type="http://schemas.openxmlformats.org/officeDocument/2006/relationships/drawing" Target="../drawings/drawing3.xml"/><Relationship Id="rId24" Type="http://schemas.openxmlformats.org/officeDocument/2006/relationships/hyperlink" Target="https://drive.google.com/file/d/1jqWk26sZjWGkEZsNrcJnMKgdSkyGctP_/view?usp=drive_link" TargetMode="External"/><Relationship Id="rId23" Type="http://schemas.openxmlformats.org/officeDocument/2006/relationships/hyperlink" Target="https://drive.google.com/file/d/1OmxyOcR2U5fBKmNDabH4esYTWutP28Rw/view?usp=drive_link" TargetMode="External"/><Relationship Id="rId60" Type="http://schemas.openxmlformats.org/officeDocument/2006/relationships/hyperlink" Target="https://drive.google.com/drive/folders/1Ml_uHopGDBkKBg77CAg-99FO7m-eQWCr?usp=drive_link" TargetMode="External"/><Relationship Id="rId26" Type="http://schemas.openxmlformats.org/officeDocument/2006/relationships/hyperlink" Target="https://drive.google.com/file/d/13h-OZDtvgUiGbLM_44991qrgVzXAxoeI/view?usp=drive_link" TargetMode="External"/><Relationship Id="rId25" Type="http://schemas.openxmlformats.org/officeDocument/2006/relationships/hyperlink" Target="https://drive.google.com/file/d/1cmFrkgxNRf_79dszwDfT7vZe1CKwEqi6/view?usp=drive_link" TargetMode="External"/><Relationship Id="rId28" Type="http://schemas.openxmlformats.org/officeDocument/2006/relationships/hyperlink" Target="https://drive.google.com/file/d/12KNeWPlpxqbMOybZTSrK63FA6-g4Z5Br/view?usp=drive_link" TargetMode="External"/><Relationship Id="rId27" Type="http://schemas.openxmlformats.org/officeDocument/2006/relationships/hyperlink" Target="https://drive.google.com/file/d/1Knvav0-kpUAEF5reLGCW2cxwJOSQsd1G/view?usp=drive_link" TargetMode="External"/><Relationship Id="rId29" Type="http://schemas.openxmlformats.org/officeDocument/2006/relationships/hyperlink" Target="https://drive.google.com/file/d/1wETFL66iJqRblaZXRIQUtuW2pFKPF1V1/view?usp=drive_link" TargetMode="External"/><Relationship Id="rId51" Type="http://schemas.openxmlformats.org/officeDocument/2006/relationships/hyperlink" Target="https://drive.google.com/file/d/1FUSw0MswjP7DCjbcLbCgydf8CQRxxLuj/view?usp=sharing" TargetMode="External"/><Relationship Id="rId50" Type="http://schemas.openxmlformats.org/officeDocument/2006/relationships/hyperlink" Target="https://drive.google.com/file/d/1Kt1XhDRxaS8U5UTfzAQJFmd6ZtgwoSHa/view?usp=sharing" TargetMode="External"/><Relationship Id="rId53" Type="http://schemas.openxmlformats.org/officeDocument/2006/relationships/hyperlink" Target="https://drive.google.com/file/d/1MlDmLxVWEuLUTxkMb2FL6wt1I_Jv8-is/view?usp=sharing" TargetMode="External"/><Relationship Id="rId52" Type="http://schemas.openxmlformats.org/officeDocument/2006/relationships/hyperlink" Target="https://drive.google.com/drive/folders/1Ucu_rIPZWGAeLVOeuLwAzzw0Z_DR74yz?usp=drive_link" TargetMode="External"/><Relationship Id="rId11" Type="http://schemas.openxmlformats.org/officeDocument/2006/relationships/hyperlink" Target="https://drive.google.com/file/d/1kbzzkPA7dY5JllcABu87f1Uqwx6KNpXW/view?usp=sharing" TargetMode="External"/><Relationship Id="rId55" Type="http://schemas.openxmlformats.org/officeDocument/2006/relationships/hyperlink" Target="https://drive.google.com/drive/folders/1FER8RZKPINzui5IA5hXUDN33mgACYWd4?usp=drive_link" TargetMode="External"/><Relationship Id="rId10" Type="http://schemas.openxmlformats.org/officeDocument/2006/relationships/hyperlink" Target="https://drive.google.com/drive/folders/1vSTxmtg-JUcz9WF45jfH6XxVArAfdms2?usp=drive_link" TargetMode="External"/><Relationship Id="rId54" Type="http://schemas.openxmlformats.org/officeDocument/2006/relationships/hyperlink" Target="https://drive.google.com/drive/folders/1FER8RZKPINzui5IA5hXUDN33mgACYWd4?usp=drive_link" TargetMode="External"/><Relationship Id="rId13" Type="http://schemas.openxmlformats.org/officeDocument/2006/relationships/hyperlink" Target="https://drive.google.com/file/d/1dxG15MLy5Q3SZ_wom-NSkrvwGiV7P1iQ/view?usp=sharing" TargetMode="External"/><Relationship Id="rId57" Type="http://schemas.openxmlformats.org/officeDocument/2006/relationships/hyperlink" Target="https://drive.google.com/drive/folders/1FER8RZKPINzui5IA5hXUDN33mgACYWd4?usp=drive_link" TargetMode="External"/><Relationship Id="rId12" Type="http://schemas.openxmlformats.org/officeDocument/2006/relationships/hyperlink" Target="https://drive.google.com/file/d/16TIoJSEEf5WK2E9vuw1sojWg_5gpfo-7/view?usp=sharing" TargetMode="External"/><Relationship Id="rId56" Type="http://schemas.openxmlformats.org/officeDocument/2006/relationships/hyperlink" Target="https://drive.google.com/drive/folders/1FER8RZKPINzui5IA5hXUDN33mgACYWd4?usp=drive_link" TargetMode="External"/><Relationship Id="rId15" Type="http://schemas.openxmlformats.org/officeDocument/2006/relationships/hyperlink" Target="https://drive.google.com/drive/folders/1aD47Hx6z_hgROMVmomRNdRPnsZxFwxLL?usp=drive_link" TargetMode="External"/><Relationship Id="rId59" Type="http://schemas.openxmlformats.org/officeDocument/2006/relationships/hyperlink" Target="https://drive.google.com/file/d/11ZsnLm-4QCK_JTEwwIU3ACNS9BRdPTJN/view?usp=sharing" TargetMode="External"/><Relationship Id="rId14" Type="http://schemas.openxmlformats.org/officeDocument/2006/relationships/hyperlink" Target="https://drive.google.com/file/d/1dxG15MLy5Q3SZ_wom-NSkrvwGiV7P1iQ/view?usp=sharing" TargetMode="External"/><Relationship Id="rId58" Type="http://schemas.openxmlformats.org/officeDocument/2006/relationships/hyperlink" Target="https://drive.google.com/file/d/1n4W7kvKqbHBtsBEnOpPxVdK2WMwV0w1h/view?usp=sharing" TargetMode="External"/><Relationship Id="rId17" Type="http://schemas.openxmlformats.org/officeDocument/2006/relationships/hyperlink" Target="https://drive.google.com/file/d/1zqk0sZbSDhUb9I0i7py8IsQFmSvxTTP3/view?usp=sharing" TargetMode="External"/><Relationship Id="rId16" Type="http://schemas.openxmlformats.org/officeDocument/2006/relationships/hyperlink" Target="https://drive.google.com/file/d/19NwWaQZQQldyxuzU_OOvawuZysRBugTj/view?usp=sharing" TargetMode="External"/><Relationship Id="rId19" Type="http://schemas.openxmlformats.org/officeDocument/2006/relationships/hyperlink" Target="https://drive.google.com/drive/folders/1wdajJLs3o5s1xyfp7eWrDOpgqTTel4No?usp=drive_link" TargetMode="External"/><Relationship Id="rId18" Type="http://schemas.openxmlformats.org/officeDocument/2006/relationships/hyperlink" Target="https://drive.google.com/file/d/1q4-d4IaHiXJLQAcjhOmzp2T4m_BYU-LI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_KllhXzwLNZD9jwPN3ssEohm8xG_SMJz/view?usp=drive_link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8ydaR8CHZbY1L2ctvyTyk4gFvJc5pExZ?usp=drive_link" TargetMode="External"/><Relationship Id="rId3" Type="http://schemas.openxmlformats.org/officeDocument/2006/relationships/hyperlink" Target="https://drive.google.com/drive/folders/1jsNJ04rZpBy8EdvR4Ddu_f0WVwgccBqp?usp=drive_link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0.14"/>
    <col customWidth="1" min="3" max="3" width="25.14"/>
    <col customWidth="1" min="4" max="4" width="22.29"/>
    <col customWidth="1" min="5" max="5" width="17.43"/>
    <col customWidth="1" min="6" max="6" width="8.86"/>
    <col customWidth="1" min="7" max="7" width="36.29"/>
    <col customWidth="1" min="8" max="8" width="26.14"/>
    <col customWidth="1" min="9" max="9" width="31.86"/>
    <col customWidth="1" min="10" max="10" width="20.86"/>
    <col customWidth="1" min="11" max="11" width="42.0"/>
    <col customWidth="1" min="12" max="26" width="8.86"/>
  </cols>
  <sheetData>
    <row r="2">
      <c r="B2" s="3" t="s">
        <v>0</v>
      </c>
      <c r="G2" s="3" t="s">
        <v>1</v>
      </c>
    </row>
    <row r="3">
      <c r="B3" s="7" t="s">
        <v>2</v>
      </c>
      <c r="C3" s="7" t="s">
        <v>4</v>
      </c>
      <c r="D3" s="7" t="s">
        <v>6</v>
      </c>
      <c r="E3" s="7" t="s">
        <v>9</v>
      </c>
      <c r="G3" s="13" t="s">
        <v>13</v>
      </c>
      <c r="H3" s="13" t="s">
        <v>17</v>
      </c>
      <c r="I3" s="13" t="s">
        <v>10</v>
      </c>
      <c r="J3" s="13" t="s">
        <v>11</v>
      </c>
      <c r="K3" s="13" t="s">
        <v>12</v>
      </c>
    </row>
    <row r="4">
      <c r="B4" s="18" t="s">
        <v>15</v>
      </c>
      <c r="C4" s="18" t="s">
        <v>19</v>
      </c>
      <c r="D4" s="18" t="s">
        <v>22</v>
      </c>
      <c r="E4" s="18" t="s">
        <v>25</v>
      </c>
      <c r="G4" s="13" t="s">
        <v>29</v>
      </c>
      <c r="H4" s="13" t="s">
        <v>30</v>
      </c>
      <c r="I4" s="13" t="s">
        <v>31</v>
      </c>
      <c r="J4" s="13" t="s">
        <v>32</v>
      </c>
      <c r="K4" s="13" t="s">
        <v>33</v>
      </c>
    </row>
    <row r="5">
      <c r="B5" s="18" t="s">
        <v>27</v>
      </c>
      <c r="C5" s="18" t="s">
        <v>34</v>
      </c>
      <c r="D5" s="18" t="s">
        <v>22</v>
      </c>
      <c r="E5" s="18" t="s">
        <v>25</v>
      </c>
      <c r="G5" s="13" t="s">
        <v>36</v>
      </c>
      <c r="H5" s="13" t="s">
        <v>37</v>
      </c>
      <c r="I5" s="13" t="s">
        <v>38</v>
      </c>
      <c r="J5" s="13" t="s">
        <v>39</v>
      </c>
      <c r="K5" s="13" t="s">
        <v>40</v>
      </c>
    </row>
    <row r="6">
      <c r="B6" s="18" t="s">
        <v>41</v>
      </c>
      <c r="C6" s="18" t="s">
        <v>42</v>
      </c>
      <c r="D6" s="18" t="s">
        <v>22</v>
      </c>
      <c r="E6" s="18" t="s">
        <v>25</v>
      </c>
      <c r="G6" s="13" t="s">
        <v>45</v>
      </c>
      <c r="H6" s="13" t="s">
        <v>46</v>
      </c>
      <c r="I6" s="13" t="s">
        <v>47</v>
      </c>
      <c r="J6" s="13" t="s">
        <v>48</v>
      </c>
      <c r="K6" s="13" t="s">
        <v>50</v>
      </c>
    </row>
    <row r="7">
      <c r="B7" s="18" t="s">
        <v>49</v>
      </c>
      <c r="C7" s="18" t="s">
        <v>52</v>
      </c>
      <c r="D7" s="18" t="s">
        <v>22</v>
      </c>
      <c r="E7" s="18" t="s">
        <v>25</v>
      </c>
      <c r="G7" s="35" t="s">
        <v>24</v>
      </c>
      <c r="H7" s="35"/>
      <c r="I7" s="35"/>
      <c r="J7" s="35"/>
      <c r="K7" s="35"/>
    </row>
    <row r="8">
      <c r="B8" s="18" t="s">
        <v>55</v>
      </c>
      <c r="C8" s="18" t="s">
        <v>57</v>
      </c>
      <c r="D8" s="18" t="s">
        <v>22</v>
      </c>
      <c r="E8" s="18" t="s">
        <v>25</v>
      </c>
      <c r="G8" s="42" t="s">
        <v>26</v>
      </c>
      <c r="H8" s="42" t="s">
        <v>28</v>
      </c>
      <c r="I8" s="42" t="s">
        <v>62</v>
      </c>
      <c r="J8" s="42" t="s">
        <v>63</v>
      </c>
      <c r="K8" s="42" t="s">
        <v>56</v>
      </c>
    </row>
    <row r="9">
      <c r="B9" s="18" t="s">
        <v>59</v>
      </c>
      <c r="C9" s="18" t="s">
        <v>60</v>
      </c>
      <c r="D9" s="18" t="s">
        <v>22</v>
      </c>
      <c r="E9" s="18" t="s">
        <v>25</v>
      </c>
      <c r="G9" s="46" t="s">
        <v>26</v>
      </c>
      <c r="H9" s="46" t="s">
        <v>65</v>
      </c>
      <c r="I9" s="49">
        <v>45901.0</v>
      </c>
      <c r="J9" s="49">
        <v>46266.0</v>
      </c>
      <c r="K9" s="46" t="s">
        <v>56</v>
      </c>
    </row>
    <row r="10">
      <c r="B10" s="18" t="s">
        <v>61</v>
      </c>
      <c r="C10" s="18" t="s">
        <v>64</v>
      </c>
      <c r="D10" s="18" t="s">
        <v>22</v>
      </c>
      <c r="E10" s="18" t="s">
        <v>25</v>
      </c>
      <c r="G10" s="35" t="s">
        <v>72</v>
      </c>
      <c r="H10" s="35"/>
      <c r="I10" s="35"/>
      <c r="J10" s="35"/>
      <c r="K10" s="35"/>
    </row>
    <row r="11">
      <c r="B11" s="57" t="s">
        <v>66</v>
      </c>
      <c r="C11" s="57" t="s">
        <v>67</v>
      </c>
      <c r="D11" s="57" t="s">
        <v>70</v>
      </c>
      <c r="E11" s="57" t="s">
        <v>73</v>
      </c>
      <c r="G11" s="13" t="s">
        <v>82</v>
      </c>
      <c r="H11" s="13" t="s">
        <v>83</v>
      </c>
      <c r="I11" s="13" t="s">
        <v>84</v>
      </c>
      <c r="J11" s="13" t="s">
        <v>85</v>
      </c>
      <c r="K11" s="13" t="s">
        <v>86</v>
      </c>
    </row>
    <row r="12">
      <c r="B12" s="18" t="s">
        <v>74</v>
      </c>
      <c r="C12" s="18" t="s">
        <v>76</v>
      </c>
      <c r="D12" s="18" t="s">
        <v>22</v>
      </c>
      <c r="E12" s="18" t="s">
        <v>25</v>
      </c>
      <c r="G12" s="64" t="s">
        <v>51</v>
      </c>
      <c r="H12" s="64"/>
      <c r="I12" s="64"/>
      <c r="J12" s="64"/>
      <c r="K12" s="64"/>
    </row>
    <row r="13">
      <c r="B13" s="18" t="s">
        <v>80</v>
      </c>
      <c r="C13" s="18" t="s">
        <v>76</v>
      </c>
      <c r="D13" s="18" t="s">
        <v>22</v>
      </c>
      <c r="E13" s="18" t="s">
        <v>25</v>
      </c>
      <c r="G13" s="46" t="s">
        <v>53</v>
      </c>
      <c r="H13" s="46" t="s">
        <v>54</v>
      </c>
      <c r="I13" s="46" t="s">
        <v>95</v>
      </c>
      <c r="J13" s="46" t="s">
        <v>96</v>
      </c>
      <c r="K13" s="46" t="s">
        <v>56</v>
      </c>
    </row>
    <row r="14">
      <c r="B14" s="18" t="s">
        <v>88</v>
      </c>
      <c r="C14" s="18" t="s">
        <v>90</v>
      </c>
      <c r="D14" s="18" t="s">
        <v>22</v>
      </c>
      <c r="E14" s="18" t="s">
        <v>25</v>
      </c>
      <c r="G14" s="69" t="s">
        <v>99</v>
      </c>
      <c r="H14" s="69" t="s">
        <v>100</v>
      </c>
      <c r="I14" s="71">
        <v>45909.0</v>
      </c>
      <c r="J14" s="71">
        <v>46639.0</v>
      </c>
      <c r="K14" s="69" t="s">
        <v>56</v>
      </c>
    </row>
    <row r="15">
      <c r="B15" s="18" t="s">
        <v>93</v>
      </c>
      <c r="C15" s="18" t="s">
        <v>94</v>
      </c>
      <c r="D15" s="18" t="s">
        <v>22</v>
      </c>
      <c r="E15" s="18" t="s">
        <v>25</v>
      </c>
      <c r="G15" s="64" t="s">
        <v>68</v>
      </c>
      <c r="H15" s="64"/>
      <c r="I15" s="78"/>
      <c r="J15" s="78"/>
      <c r="K15" s="64"/>
    </row>
    <row r="16">
      <c r="B16" s="18" t="s">
        <v>98</v>
      </c>
      <c r="C16" s="18" t="s">
        <v>101</v>
      </c>
      <c r="D16" s="18" t="s">
        <v>22</v>
      </c>
      <c r="E16" s="18" t="s">
        <v>25</v>
      </c>
      <c r="G16" s="46" t="s">
        <v>69</v>
      </c>
      <c r="H16" s="46" t="s">
        <v>71</v>
      </c>
      <c r="I16" s="85" t="s">
        <v>120</v>
      </c>
      <c r="J16" s="85" t="s">
        <v>121</v>
      </c>
      <c r="K16" s="46" t="s">
        <v>56</v>
      </c>
    </row>
    <row r="17">
      <c r="B17" s="88" t="s">
        <v>104</v>
      </c>
      <c r="C17" s="88" t="s">
        <v>106</v>
      </c>
      <c r="D17" s="88" t="s">
        <v>108</v>
      </c>
      <c r="E17" s="88" t="s">
        <v>111</v>
      </c>
      <c r="G17" s="42" t="s">
        <v>75</v>
      </c>
      <c r="H17" s="42" t="s">
        <v>71</v>
      </c>
      <c r="I17" s="90" t="s">
        <v>133</v>
      </c>
      <c r="J17" s="90" t="s">
        <v>121</v>
      </c>
      <c r="K17" s="42" t="s">
        <v>56</v>
      </c>
    </row>
    <row r="18">
      <c r="B18" s="18" t="s">
        <v>114</v>
      </c>
      <c r="C18" s="18" t="s">
        <v>116</v>
      </c>
      <c r="D18" s="18" t="s">
        <v>22</v>
      </c>
      <c r="E18" s="18" t="s">
        <v>25</v>
      </c>
      <c r="G18" s="64" t="s">
        <v>102</v>
      </c>
      <c r="H18" s="64"/>
      <c r="I18" s="78"/>
      <c r="J18" s="78"/>
      <c r="K18" s="64"/>
    </row>
    <row r="19">
      <c r="B19" s="18" t="s">
        <v>123</v>
      </c>
      <c r="C19" s="18" t="s">
        <v>126</v>
      </c>
      <c r="D19" s="18" t="s">
        <v>22</v>
      </c>
      <c r="E19" s="18" t="s">
        <v>25</v>
      </c>
      <c r="G19" s="46" t="s">
        <v>103</v>
      </c>
      <c r="H19" s="46" t="s">
        <v>37</v>
      </c>
      <c r="I19" s="97" t="s">
        <v>112</v>
      </c>
      <c r="J19" s="97" t="s">
        <v>112</v>
      </c>
      <c r="K19" s="46" t="s">
        <v>152</v>
      </c>
    </row>
    <row r="20">
      <c r="B20" s="18" t="s">
        <v>134</v>
      </c>
      <c r="C20" s="18" t="s">
        <v>136</v>
      </c>
      <c r="D20" s="18" t="s">
        <v>22</v>
      </c>
      <c r="E20" s="18" t="s">
        <v>25</v>
      </c>
      <c r="G20" s="42"/>
      <c r="H20" s="42"/>
      <c r="I20" s="90"/>
      <c r="J20" s="90"/>
      <c r="K20" s="42"/>
    </row>
    <row r="21">
      <c r="B21" s="18" t="s">
        <v>140</v>
      </c>
      <c r="C21" s="18" t="s">
        <v>142</v>
      </c>
      <c r="D21" s="18" t="s">
        <v>146</v>
      </c>
      <c r="E21" s="18" t="s">
        <v>25</v>
      </c>
    </row>
    <row r="22">
      <c r="B22" s="18" t="s">
        <v>147</v>
      </c>
      <c r="C22" s="18" t="s">
        <v>150</v>
      </c>
      <c r="D22" s="18" t="s">
        <v>22</v>
      </c>
      <c r="E22" s="18" t="s">
        <v>25</v>
      </c>
      <c r="G22" s="102" t="s">
        <v>162</v>
      </c>
    </row>
    <row r="23">
      <c r="B23" s="103"/>
      <c r="C23" s="103"/>
      <c r="D23" s="103"/>
      <c r="E23" s="103"/>
      <c r="G23" s="13" t="s">
        <v>164</v>
      </c>
      <c r="H23" s="13" t="s">
        <v>165</v>
      </c>
      <c r="I23" s="13" t="s">
        <v>166</v>
      </c>
      <c r="J23" s="13" t="s">
        <v>167</v>
      </c>
      <c r="K23" s="13" t="s">
        <v>12</v>
      </c>
    </row>
    <row r="24">
      <c r="B24" s="42"/>
      <c r="C24" s="42"/>
      <c r="D24" s="42"/>
      <c r="E24" s="42"/>
      <c r="G24" s="13" t="s">
        <v>172</v>
      </c>
      <c r="H24" s="13" t="s">
        <v>175</v>
      </c>
      <c r="I24" s="13" t="s">
        <v>178</v>
      </c>
      <c r="J24" s="111">
        <v>45601.0</v>
      </c>
      <c r="K24" s="13" t="s">
        <v>22</v>
      </c>
    </row>
    <row r="25">
      <c r="B25" s="42"/>
      <c r="C25" s="42"/>
      <c r="D25" s="42"/>
      <c r="E25" s="42"/>
      <c r="G25" s="13" t="s">
        <v>186</v>
      </c>
      <c r="H25" s="13" t="s">
        <v>187</v>
      </c>
      <c r="I25" s="13" t="s">
        <v>178</v>
      </c>
      <c r="J25" s="113" t="s">
        <v>190</v>
      </c>
      <c r="K25" s="13" t="s">
        <v>22</v>
      </c>
    </row>
    <row r="26">
      <c r="B26" s="42"/>
      <c r="C26" s="42"/>
      <c r="D26" s="42"/>
      <c r="E26" s="42"/>
      <c r="G26" s="13" t="s">
        <v>197</v>
      </c>
      <c r="H26" s="116" t="s">
        <v>199</v>
      </c>
      <c r="I26" s="13" t="s">
        <v>178</v>
      </c>
      <c r="J26" s="111">
        <v>45759.0</v>
      </c>
      <c r="K26" s="13" t="s">
        <v>22</v>
      </c>
    </row>
    <row r="27">
      <c r="B27" s="42"/>
      <c r="C27" s="42"/>
      <c r="D27" s="42"/>
      <c r="E27" s="42"/>
      <c r="G27" s="119" t="s">
        <v>205</v>
      </c>
      <c r="H27" s="121" t="s">
        <v>208</v>
      </c>
      <c r="I27" s="119" t="s">
        <v>178</v>
      </c>
      <c r="J27" s="122" t="s">
        <v>210</v>
      </c>
      <c r="K27" s="119" t="s">
        <v>22</v>
      </c>
    </row>
    <row r="28">
      <c r="B28" s="42"/>
      <c r="C28" s="42"/>
      <c r="D28" s="42"/>
      <c r="E28" s="42"/>
      <c r="G28" s="13" t="s">
        <v>213</v>
      </c>
      <c r="H28" s="13" t="s">
        <v>214</v>
      </c>
      <c r="I28" s="13" t="s">
        <v>178</v>
      </c>
      <c r="J28" s="13" t="s">
        <v>217</v>
      </c>
      <c r="K28" s="13" t="s">
        <v>22</v>
      </c>
    </row>
    <row r="29">
      <c r="B29" s="42"/>
      <c r="C29" s="42"/>
      <c r="D29" s="42"/>
      <c r="E29" s="42"/>
      <c r="G29" s="124" t="s">
        <v>221</v>
      </c>
      <c r="H29" s="124" t="s">
        <v>224</v>
      </c>
      <c r="I29" s="124" t="s">
        <v>178</v>
      </c>
      <c r="J29" s="126" t="s">
        <v>226</v>
      </c>
      <c r="K29" s="124" t="s">
        <v>22</v>
      </c>
    </row>
    <row r="30">
      <c r="B30" s="42"/>
      <c r="C30" s="42"/>
      <c r="D30" s="42"/>
      <c r="E30" s="42"/>
      <c r="G30" s="119" t="s">
        <v>227</v>
      </c>
      <c r="H30" s="119" t="s">
        <v>228</v>
      </c>
      <c r="I30" s="119" t="s">
        <v>178</v>
      </c>
      <c r="J30" s="122" t="s">
        <v>230</v>
      </c>
      <c r="K30" s="119" t="s">
        <v>22</v>
      </c>
    </row>
    <row r="31">
      <c r="B31" s="42"/>
      <c r="C31" s="42"/>
      <c r="D31" s="42"/>
      <c r="E31" s="42"/>
      <c r="G31" s="64" t="s">
        <v>233</v>
      </c>
      <c r="H31" s="64"/>
      <c r="I31" s="64"/>
      <c r="J31" s="64"/>
      <c r="K31" s="64"/>
    </row>
    <row r="32">
      <c r="B32" s="42"/>
      <c r="C32" s="42"/>
      <c r="D32" s="42"/>
      <c r="E32" s="42"/>
      <c r="G32" s="13" t="s">
        <v>236</v>
      </c>
      <c r="H32" s="13" t="s">
        <v>237</v>
      </c>
      <c r="I32" s="13" t="s">
        <v>239</v>
      </c>
      <c r="J32" s="113" t="s">
        <v>243</v>
      </c>
      <c r="K32" s="13" t="s">
        <v>22</v>
      </c>
    </row>
    <row r="33">
      <c r="B33" s="42"/>
      <c r="C33" s="42"/>
      <c r="D33" s="42"/>
      <c r="E33" s="42"/>
      <c r="G33" s="116" t="s">
        <v>246</v>
      </c>
      <c r="H33" s="135" t="s">
        <v>247</v>
      </c>
      <c r="I33" s="135" t="s">
        <v>239</v>
      </c>
      <c r="J33" s="136">
        <v>45776.0</v>
      </c>
      <c r="K33" s="135" t="s">
        <v>22</v>
      </c>
    </row>
    <row r="34">
      <c r="B34" s="42"/>
      <c r="C34" s="42"/>
      <c r="D34" s="42"/>
      <c r="E34" s="42"/>
      <c r="G34" s="138" t="s">
        <v>253</v>
      </c>
      <c r="H34" s="138" t="s">
        <v>256</v>
      </c>
      <c r="I34" s="138" t="s">
        <v>239</v>
      </c>
      <c r="J34" s="139">
        <v>45917.0</v>
      </c>
      <c r="K34" s="140" t="s">
        <v>262</v>
      </c>
    </row>
    <row r="35">
      <c r="B35" s="42"/>
      <c r="C35" s="42"/>
      <c r="D35" s="42"/>
      <c r="E35" s="42"/>
      <c r="G35" s="124" t="s">
        <v>267</v>
      </c>
      <c r="H35" s="124" t="s">
        <v>268</v>
      </c>
      <c r="I35" s="124" t="s">
        <v>239</v>
      </c>
      <c r="J35" s="126"/>
      <c r="K35" s="144" t="s">
        <v>271</v>
      </c>
    </row>
    <row r="36">
      <c r="B36" s="42"/>
      <c r="C36" s="42"/>
      <c r="D36" s="42"/>
      <c r="E36" s="42"/>
      <c r="G36" s="64" t="s">
        <v>273</v>
      </c>
      <c r="H36" s="64"/>
      <c r="I36" s="64"/>
      <c r="J36" s="64"/>
      <c r="K36" s="64"/>
    </row>
    <row r="37">
      <c r="B37" s="42"/>
      <c r="C37" s="42"/>
      <c r="D37" s="42"/>
      <c r="E37" s="42"/>
      <c r="G37" s="46" t="s">
        <v>275</v>
      </c>
      <c r="H37" s="46" t="s">
        <v>276</v>
      </c>
      <c r="I37" s="46" t="s">
        <v>277</v>
      </c>
      <c r="J37" s="97" t="s">
        <v>278</v>
      </c>
      <c r="K37" s="46" t="s">
        <v>22</v>
      </c>
    </row>
    <row r="38" ht="15.75" customHeight="1">
      <c r="B38" s="42"/>
      <c r="C38" s="42"/>
      <c r="D38" s="42"/>
      <c r="E38" s="42"/>
      <c r="G38" s="64" t="s">
        <v>279</v>
      </c>
      <c r="H38" s="64"/>
      <c r="I38" s="64"/>
      <c r="J38" s="64"/>
      <c r="K38" s="64"/>
    </row>
    <row r="39" ht="15.75" customHeight="1">
      <c r="B39" s="42"/>
      <c r="C39" s="42"/>
      <c r="D39" s="42"/>
      <c r="E39" s="42"/>
      <c r="G39" s="13" t="s">
        <v>283</v>
      </c>
      <c r="H39" s="13" t="s">
        <v>284</v>
      </c>
      <c r="I39" s="13" t="s">
        <v>286</v>
      </c>
      <c r="J39" s="147" t="s">
        <v>287</v>
      </c>
      <c r="K39" s="13" t="s">
        <v>289</v>
      </c>
    </row>
    <row r="40" ht="15.75" customHeight="1">
      <c r="B40" s="42"/>
      <c r="C40" s="42"/>
      <c r="D40" s="42"/>
      <c r="E40" s="42"/>
      <c r="G40" s="64" t="s">
        <v>294</v>
      </c>
      <c r="H40" s="64"/>
      <c r="I40" s="64"/>
      <c r="J40" s="64"/>
      <c r="K40" s="64"/>
    </row>
    <row r="41" ht="15.75" customHeight="1">
      <c r="B41" s="42"/>
      <c r="C41" s="42"/>
      <c r="D41" s="42"/>
      <c r="E41" s="42"/>
      <c r="G41" s="46" t="s">
        <v>296</v>
      </c>
      <c r="H41" s="46" t="s">
        <v>298</v>
      </c>
      <c r="I41" s="46" t="s">
        <v>299</v>
      </c>
      <c r="J41" s="46" t="s">
        <v>300</v>
      </c>
      <c r="K41" s="46" t="s">
        <v>301</v>
      </c>
    </row>
    <row r="42" ht="15.75" customHeight="1">
      <c r="B42" s="150"/>
      <c r="C42" s="29"/>
      <c r="D42" s="29"/>
      <c r="E42" s="29"/>
      <c r="G42" s="64" t="s">
        <v>306</v>
      </c>
      <c r="H42" s="64"/>
      <c r="I42" s="64"/>
      <c r="J42" s="64"/>
      <c r="K42" s="64"/>
    </row>
    <row r="43" ht="15.75" customHeight="1">
      <c r="B43" s="156"/>
      <c r="C43" s="29"/>
      <c r="D43" s="29"/>
      <c r="E43" s="29"/>
      <c r="G43" s="13" t="s">
        <v>311</v>
      </c>
      <c r="H43" s="13" t="s">
        <v>312</v>
      </c>
      <c r="I43" s="13" t="s">
        <v>313</v>
      </c>
      <c r="J43" s="160">
        <v>45909.0</v>
      </c>
      <c r="K43" s="13" t="s">
        <v>314</v>
      </c>
    </row>
    <row r="44" ht="15.75" customHeight="1">
      <c r="B44" s="42"/>
      <c r="C44" s="42"/>
      <c r="D44" s="42"/>
      <c r="E44" s="42"/>
      <c r="G44" s="161"/>
    </row>
    <row r="45" ht="15.75" customHeight="1">
      <c r="G45" s="3" t="s">
        <v>92</v>
      </c>
    </row>
    <row r="46" ht="15.75" customHeight="1">
      <c r="G46" s="13" t="s">
        <v>325</v>
      </c>
      <c r="H46" s="13" t="s">
        <v>327</v>
      </c>
      <c r="I46" s="13" t="s">
        <v>328</v>
      </c>
      <c r="J46" s="13" t="s">
        <v>329</v>
      </c>
      <c r="K46" s="13" t="s">
        <v>12</v>
      </c>
    </row>
    <row r="47" ht="15.75" customHeight="1">
      <c r="G47" s="13" t="s">
        <v>333</v>
      </c>
      <c r="H47" s="13" t="s">
        <v>308</v>
      </c>
      <c r="I47" s="13" t="s">
        <v>334</v>
      </c>
      <c r="J47" s="13" t="s">
        <v>335</v>
      </c>
      <c r="K47" s="13" t="s">
        <v>56</v>
      </c>
    </row>
    <row r="48" ht="15.75" customHeight="1">
      <c r="G48" s="13" t="s">
        <v>336</v>
      </c>
      <c r="H48" s="13" t="s">
        <v>308</v>
      </c>
      <c r="I48" s="111">
        <v>45777.0</v>
      </c>
      <c r="J48" s="111">
        <v>46142.0</v>
      </c>
      <c r="K48" s="13" t="s">
        <v>56</v>
      </c>
    </row>
    <row r="49" ht="15.75" customHeight="1">
      <c r="G49" s="64" t="s">
        <v>344</v>
      </c>
      <c r="H49" s="64"/>
      <c r="I49" s="64"/>
      <c r="J49" s="64"/>
      <c r="K49" s="64"/>
    </row>
    <row r="50" ht="15.75" customHeight="1">
      <c r="G50" s="46" t="s">
        <v>348</v>
      </c>
      <c r="H50" s="46" t="s">
        <v>351</v>
      </c>
      <c r="I50" s="46" t="s">
        <v>352</v>
      </c>
      <c r="J50" s="46" t="s">
        <v>353</v>
      </c>
      <c r="K50" s="46" t="s">
        <v>56</v>
      </c>
    </row>
    <row r="51" ht="15.75" customHeight="1"/>
    <row r="52" ht="15.75" customHeight="1">
      <c r="G52" s="102" t="s">
        <v>356</v>
      </c>
    </row>
    <row r="53" ht="15.75" customHeight="1">
      <c r="G53" s="13" t="s">
        <v>358</v>
      </c>
      <c r="H53" s="13" t="s">
        <v>359</v>
      </c>
      <c r="I53" s="13" t="s">
        <v>360</v>
      </c>
      <c r="J53" s="13" t="s">
        <v>362</v>
      </c>
      <c r="K53" s="13" t="s">
        <v>9</v>
      </c>
    </row>
    <row r="54" ht="15.75" customHeight="1">
      <c r="G54" s="116" t="s">
        <v>363</v>
      </c>
      <c r="H54" s="13" t="s">
        <v>367</v>
      </c>
      <c r="I54" s="13" t="s">
        <v>369</v>
      </c>
      <c r="J54" s="13" t="s">
        <v>370</v>
      </c>
      <c r="K54" s="13" t="s">
        <v>371</v>
      </c>
    </row>
    <row r="55" ht="15.75" customHeight="1">
      <c r="G55" s="13" t="s">
        <v>373</v>
      </c>
      <c r="H55" s="13" t="s">
        <v>375</v>
      </c>
      <c r="I55" s="116" t="s">
        <v>377</v>
      </c>
      <c r="J55" s="13" t="s">
        <v>379</v>
      </c>
      <c r="K55" s="13" t="s">
        <v>380</v>
      </c>
    </row>
    <row r="56" ht="15.75" customHeight="1">
      <c r="G56" s="13" t="s">
        <v>381</v>
      </c>
      <c r="H56" s="13" t="s">
        <v>382</v>
      </c>
      <c r="I56" s="13"/>
      <c r="J56" s="13" t="s">
        <v>352</v>
      </c>
      <c r="K56" s="13" t="s">
        <v>22</v>
      </c>
    </row>
    <row r="57" ht="15.75" customHeight="1">
      <c r="G57" s="13" t="s">
        <v>387</v>
      </c>
      <c r="H57" s="13" t="s">
        <v>388</v>
      </c>
      <c r="I57" s="116" t="s">
        <v>389</v>
      </c>
      <c r="J57" s="13" t="s">
        <v>390</v>
      </c>
      <c r="K57" s="116" t="s">
        <v>391</v>
      </c>
    </row>
    <row r="58" ht="15.75" customHeight="1">
      <c r="G58" s="116" t="s">
        <v>392</v>
      </c>
      <c r="H58" s="13" t="s">
        <v>394</v>
      </c>
      <c r="I58" s="13" t="s">
        <v>395</v>
      </c>
      <c r="J58" s="13" t="s">
        <v>396</v>
      </c>
      <c r="K58" s="13" t="s">
        <v>398</v>
      </c>
    </row>
    <row r="59" ht="15.75" customHeight="1">
      <c r="G59" s="13" t="s">
        <v>400</v>
      </c>
      <c r="H59" s="13" t="s">
        <v>402</v>
      </c>
      <c r="I59" s="13"/>
      <c r="J59" s="13" t="s">
        <v>403</v>
      </c>
      <c r="K59" s="13" t="s">
        <v>404</v>
      </c>
    </row>
    <row r="60" ht="15.75" customHeight="1">
      <c r="G60" s="13" t="s">
        <v>405</v>
      </c>
      <c r="H60" s="13" t="s">
        <v>406</v>
      </c>
      <c r="I60" s="13" t="s">
        <v>407</v>
      </c>
      <c r="J60" s="13" t="s">
        <v>408</v>
      </c>
      <c r="K60" s="13" t="s">
        <v>409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7" right="0.7" top="0.75"/>
  <pageSetup paperSize="9"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86"/>
    <col customWidth="1" min="3" max="3" width="22.14"/>
    <col customWidth="1" min="4" max="4" width="26.57"/>
    <col customWidth="1" min="5" max="5" width="20.86"/>
  </cols>
  <sheetData>
    <row r="2">
      <c r="B2" s="2" t="s">
        <v>0</v>
      </c>
    </row>
    <row r="3">
      <c r="B3" s="4" t="s">
        <v>2</v>
      </c>
      <c r="C3" s="4" t="s">
        <v>4</v>
      </c>
      <c r="D3" s="4" t="s">
        <v>6</v>
      </c>
      <c r="E3" s="4" t="s">
        <v>9</v>
      </c>
    </row>
    <row r="4">
      <c r="B4" s="14" t="s">
        <v>15</v>
      </c>
      <c r="C4" s="14" t="s">
        <v>19</v>
      </c>
      <c r="D4" s="14" t="s">
        <v>22</v>
      </c>
      <c r="E4" s="14" t="s">
        <v>25</v>
      </c>
    </row>
    <row r="5">
      <c r="B5" s="21" t="s">
        <v>27</v>
      </c>
      <c r="C5" s="21" t="s">
        <v>34</v>
      </c>
      <c r="D5" s="21" t="s">
        <v>22</v>
      </c>
      <c r="E5" s="21" t="s">
        <v>25</v>
      </c>
    </row>
    <row r="6">
      <c r="B6" s="14" t="s">
        <v>41</v>
      </c>
      <c r="C6" s="14" t="s">
        <v>42</v>
      </c>
      <c r="D6" s="14" t="s">
        <v>22</v>
      </c>
      <c r="E6" s="14" t="s">
        <v>25</v>
      </c>
    </row>
    <row r="7">
      <c r="B7" s="21" t="s">
        <v>49</v>
      </c>
      <c r="C7" s="21" t="s">
        <v>52</v>
      </c>
      <c r="D7" s="21" t="s">
        <v>22</v>
      </c>
      <c r="E7" s="21" t="s">
        <v>25</v>
      </c>
    </row>
    <row r="8">
      <c r="B8" s="14" t="s">
        <v>55</v>
      </c>
      <c r="C8" s="14" t="s">
        <v>57</v>
      </c>
      <c r="D8" s="14" t="s">
        <v>22</v>
      </c>
      <c r="E8" s="14" t="s">
        <v>25</v>
      </c>
    </row>
    <row r="9">
      <c r="B9" s="21" t="s">
        <v>59</v>
      </c>
      <c r="C9" s="21" t="s">
        <v>60</v>
      </c>
      <c r="D9" s="21" t="s">
        <v>22</v>
      </c>
      <c r="E9" s="21" t="s">
        <v>25</v>
      </c>
    </row>
    <row r="10">
      <c r="B10" s="14" t="s">
        <v>61</v>
      </c>
      <c r="C10" s="14" t="s">
        <v>64</v>
      </c>
      <c r="D10" s="14" t="s">
        <v>22</v>
      </c>
      <c r="E10" s="14" t="s">
        <v>25</v>
      </c>
    </row>
    <row r="11">
      <c r="B11" s="50" t="s">
        <v>66</v>
      </c>
      <c r="C11" s="50" t="s">
        <v>67</v>
      </c>
      <c r="D11" s="50" t="s">
        <v>70</v>
      </c>
      <c r="E11" s="50" t="s">
        <v>73</v>
      </c>
    </row>
    <row r="12">
      <c r="B12" s="14" t="s">
        <v>74</v>
      </c>
      <c r="C12" s="14" t="s">
        <v>76</v>
      </c>
      <c r="D12" s="14" t="s">
        <v>22</v>
      </c>
      <c r="E12" s="14" t="s">
        <v>25</v>
      </c>
    </row>
    <row r="13">
      <c r="B13" s="21" t="s">
        <v>80</v>
      </c>
      <c r="C13" s="21" t="s">
        <v>76</v>
      </c>
      <c r="D13" s="21" t="s">
        <v>22</v>
      </c>
      <c r="E13" s="21" t="s">
        <v>25</v>
      </c>
    </row>
    <row r="14">
      <c r="B14" s="14" t="s">
        <v>88</v>
      </c>
      <c r="C14" s="14" t="s">
        <v>90</v>
      </c>
      <c r="D14" s="14" t="s">
        <v>22</v>
      </c>
      <c r="E14" s="14" t="s">
        <v>25</v>
      </c>
    </row>
    <row r="15">
      <c r="B15" s="21" t="s">
        <v>93</v>
      </c>
      <c r="C15" s="21" t="s">
        <v>94</v>
      </c>
      <c r="D15" s="21" t="s">
        <v>22</v>
      </c>
      <c r="E15" s="21" t="s">
        <v>25</v>
      </c>
    </row>
    <row r="16">
      <c r="B16" s="14" t="s">
        <v>98</v>
      </c>
      <c r="C16" s="14" t="s">
        <v>101</v>
      </c>
      <c r="D16" s="14" t="s">
        <v>22</v>
      </c>
      <c r="E16" s="14" t="s">
        <v>25</v>
      </c>
    </row>
    <row r="17">
      <c r="B17" s="50" t="s">
        <v>104</v>
      </c>
      <c r="C17" s="50" t="s">
        <v>106</v>
      </c>
      <c r="D17" s="50" t="s">
        <v>108</v>
      </c>
      <c r="E17" s="50" t="s">
        <v>111</v>
      </c>
    </row>
    <row r="18">
      <c r="B18" s="14" t="s">
        <v>114</v>
      </c>
      <c r="C18" s="14" t="s">
        <v>116</v>
      </c>
      <c r="D18" s="14" t="s">
        <v>22</v>
      </c>
      <c r="E18" s="14" t="s">
        <v>25</v>
      </c>
    </row>
    <row r="19">
      <c r="B19" s="21" t="s">
        <v>123</v>
      </c>
      <c r="C19" s="21" t="s">
        <v>126</v>
      </c>
      <c r="D19" s="21" t="s">
        <v>22</v>
      </c>
      <c r="E19" s="21" t="s">
        <v>25</v>
      </c>
    </row>
    <row r="20">
      <c r="B20" s="14" t="s">
        <v>134</v>
      </c>
      <c r="C20" s="14" t="s">
        <v>136</v>
      </c>
      <c r="D20" s="14" t="s">
        <v>22</v>
      </c>
      <c r="E20" s="14" t="s">
        <v>25</v>
      </c>
    </row>
    <row r="21">
      <c r="B21" s="21" t="s">
        <v>140</v>
      </c>
      <c r="C21" s="21" t="s">
        <v>142</v>
      </c>
      <c r="D21" s="21" t="s">
        <v>146</v>
      </c>
      <c r="E21" s="21" t="s">
        <v>25</v>
      </c>
    </row>
    <row r="22">
      <c r="B22" s="14" t="s">
        <v>147</v>
      </c>
      <c r="C22" s="14" t="s">
        <v>150</v>
      </c>
      <c r="D22" s="14" t="s">
        <v>22</v>
      </c>
      <c r="E22" s="14" t="s">
        <v>25</v>
      </c>
    </row>
  </sheetData>
  <autoFilter ref="$B$3:$E$2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57.57"/>
    <col customWidth="1" min="3" max="3" width="38.43"/>
    <col customWidth="1" min="4" max="4" width="21.57"/>
    <col customWidth="1" min="5" max="5" width="19.0"/>
    <col customWidth="1" min="6" max="6" width="32.29"/>
    <col customWidth="1" min="9" max="9" width="22.14"/>
    <col customWidth="1" min="12" max="12" width="5.86"/>
    <col customWidth="1" min="13" max="13" width="16.86"/>
    <col customWidth="1" min="15" max="15" width="20.14"/>
    <col customWidth="1" min="16" max="16" width="17.71"/>
    <col customWidth="1" min="17" max="17" width="25.29"/>
  </cols>
  <sheetData>
    <row r="1">
      <c r="A1" s="6"/>
      <c r="B1" s="10" t="s">
        <v>7</v>
      </c>
      <c r="C1" s="11"/>
      <c r="D1" s="11"/>
      <c r="E1" s="11"/>
      <c r="F1" s="11"/>
      <c r="G1" s="11"/>
      <c r="H1" s="11"/>
      <c r="I1" s="16" t="s">
        <v>18</v>
      </c>
      <c r="J1" s="17" t="s">
        <v>23</v>
      </c>
      <c r="K1" s="20"/>
      <c r="L1" s="22"/>
      <c r="M1" s="22"/>
      <c r="N1" s="22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6"/>
      <c r="I2" s="27" t="s">
        <v>43</v>
      </c>
      <c r="J2" s="20" t="s">
        <v>44</v>
      </c>
      <c r="K2" s="20"/>
      <c r="L2" s="22"/>
      <c r="M2" s="22"/>
      <c r="N2" s="22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30"/>
      <c r="B3" s="32"/>
      <c r="C3" s="32"/>
      <c r="D3" s="32"/>
      <c r="E3" s="32"/>
      <c r="F3" s="32"/>
      <c r="G3" s="32"/>
      <c r="H3" s="32"/>
      <c r="I3" s="36" t="s">
        <v>58</v>
      </c>
      <c r="J3" s="38"/>
      <c r="K3" s="40"/>
      <c r="L3" s="41"/>
      <c r="M3" s="41"/>
      <c r="N3" s="41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45"/>
      <c r="B4" s="47"/>
      <c r="C4" s="47"/>
      <c r="D4" s="47"/>
      <c r="E4" s="47"/>
      <c r="F4" s="47"/>
      <c r="G4" s="47"/>
      <c r="H4" s="47"/>
      <c r="I4" s="47"/>
      <c r="J4" s="47"/>
      <c r="K4" s="51"/>
      <c r="L4" s="53"/>
      <c r="M4" s="53"/>
      <c r="N4" s="53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56" t="s">
        <v>77</v>
      </c>
      <c r="B5" s="24"/>
      <c r="C5" s="24"/>
      <c r="D5" s="24"/>
      <c r="E5" s="58"/>
      <c r="F5" s="24"/>
      <c r="G5" s="24"/>
      <c r="H5" s="24"/>
      <c r="I5" s="61"/>
      <c r="J5" s="24"/>
      <c r="K5" s="24"/>
      <c r="L5" s="24"/>
      <c r="M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24"/>
      <c r="B6" s="65" t="s">
        <v>92</v>
      </c>
      <c r="C6" s="66"/>
      <c r="D6" s="66"/>
      <c r="E6" s="67"/>
      <c r="F6" s="66"/>
      <c r="G6" s="24"/>
      <c r="H6" s="24"/>
      <c r="I6" s="61"/>
      <c r="J6" s="24"/>
      <c r="K6" s="24"/>
      <c r="L6" s="24"/>
      <c r="M6" s="68" t="s">
        <v>97</v>
      </c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9.25" customHeight="1">
      <c r="A7" s="70" t="s">
        <v>3</v>
      </c>
      <c r="B7" s="72" t="s">
        <v>5</v>
      </c>
      <c r="C7" s="72" t="s">
        <v>8</v>
      </c>
      <c r="D7" s="72" t="s">
        <v>10</v>
      </c>
      <c r="E7" s="72" t="s">
        <v>11</v>
      </c>
      <c r="F7" s="73" t="s">
        <v>12</v>
      </c>
      <c r="G7" s="74" t="s">
        <v>14</v>
      </c>
      <c r="H7" s="76" t="s">
        <v>16</v>
      </c>
      <c r="I7" s="79" t="s">
        <v>20</v>
      </c>
      <c r="J7" s="76" t="s">
        <v>21</v>
      </c>
      <c r="K7" s="81"/>
      <c r="L7" s="83" t="s">
        <v>113</v>
      </c>
      <c r="M7" s="83" t="s">
        <v>115</v>
      </c>
      <c r="N7" s="83" t="s">
        <v>117</v>
      </c>
      <c r="O7" s="83" t="s">
        <v>118</v>
      </c>
      <c r="P7" s="83" t="s">
        <v>119</v>
      </c>
      <c r="Q7" s="83" t="s">
        <v>12</v>
      </c>
      <c r="R7" s="83" t="s">
        <v>128</v>
      </c>
      <c r="S7" s="76" t="s">
        <v>131</v>
      </c>
      <c r="T7" s="81"/>
      <c r="U7" s="81"/>
      <c r="V7" s="81"/>
      <c r="W7" s="81"/>
      <c r="X7" s="81"/>
      <c r="Y7" s="81"/>
    </row>
    <row r="8">
      <c r="A8" s="92" t="s">
        <v>137</v>
      </c>
      <c r="B8" s="92" t="s">
        <v>138</v>
      </c>
      <c r="C8" s="92" t="s">
        <v>139</v>
      </c>
      <c r="D8" s="93" t="s">
        <v>141</v>
      </c>
      <c r="E8" s="93" t="s">
        <v>144</v>
      </c>
      <c r="F8" s="95"/>
      <c r="G8" s="96"/>
      <c r="H8" s="98" t="b">
        <v>1</v>
      </c>
      <c r="I8" s="104" t="s">
        <v>156</v>
      </c>
      <c r="J8" s="24"/>
      <c r="K8" s="24"/>
      <c r="L8" s="106">
        <v>1.0</v>
      </c>
      <c r="M8" s="108" t="s">
        <v>169</v>
      </c>
      <c r="N8" s="108" t="s">
        <v>170</v>
      </c>
      <c r="O8" s="108" t="s">
        <v>174</v>
      </c>
      <c r="P8" s="108" t="s">
        <v>176</v>
      </c>
      <c r="Q8" s="110" t="s">
        <v>179</v>
      </c>
      <c r="R8" s="110" t="s">
        <v>181</v>
      </c>
      <c r="S8" s="56" t="s">
        <v>182</v>
      </c>
      <c r="T8" s="24"/>
      <c r="U8" s="24"/>
      <c r="V8" s="24"/>
      <c r="W8" s="24"/>
      <c r="X8" s="24"/>
      <c r="Y8" s="24"/>
    </row>
    <row r="9">
      <c r="K9" s="24"/>
      <c r="O9" s="108" t="s">
        <v>188</v>
      </c>
      <c r="P9" s="108"/>
      <c r="Q9" s="110" t="s">
        <v>191</v>
      </c>
      <c r="R9" s="110" t="s">
        <v>192</v>
      </c>
      <c r="S9" s="24"/>
      <c r="T9" s="24"/>
      <c r="U9" s="24"/>
      <c r="V9" s="24"/>
      <c r="W9" s="24"/>
      <c r="X9" s="24"/>
      <c r="Y9" s="24"/>
    </row>
    <row r="10">
      <c r="A10" s="56" t="s">
        <v>196</v>
      </c>
      <c r="B10" s="56" t="s">
        <v>198</v>
      </c>
      <c r="C10" s="56" t="s">
        <v>200</v>
      </c>
      <c r="D10" s="117">
        <v>43796.0</v>
      </c>
      <c r="E10" s="117">
        <v>44892.0</v>
      </c>
      <c r="F10" s="120" t="s">
        <v>204</v>
      </c>
      <c r="G10" s="96">
        <f>E10-TODAY()</f>
        <v>-1345</v>
      </c>
      <c r="H10" s="96" t="b">
        <v>0</v>
      </c>
      <c r="I10" s="130" t="s">
        <v>220</v>
      </c>
      <c r="J10" s="24"/>
      <c r="K10" s="24"/>
      <c r="L10" s="131">
        <v>2.0</v>
      </c>
      <c r="M10" s="132" t="s">
        <v>241</v>
      </c>
      <c r="N10" s="132" t="s">
        <v>244</v>
      </c>
      <c r="O10" s="132" t="s">
        <v>174</v>
      </c>
      <c r="P10" s="132" t="s">
        <v>176</v>
      </c>
      <c r="Q10" s="134" t="s">
        <v>179</v>
      </c>
      <c r="R10" s="134" t="s">
        <v>181</v>
      </c>
      <c r="S10" s="92" t="s">
        <v>182</v>
      </c>
      <c r="T10" s="24"/>
      <c r="U10" s="24"/>
      <c r="V10" s="24"/>
      <c r="W10" s="24"/>
      <c r="X10" s="24"/>
      <c r="Y10" s="24"/>
    </row>
    <row r="11">
      <c r="K11" s="24"/>
      <c r="O11" s="132" t="s">
        <v>188</v>
      </c>
      <c r="P11" s="132"/>
      <c r="Q11" s="134" t="s">
        <v>191</v>
      </c>
      <c r="R11" s="134" t="s">
        <v>192</v>
      </c>
      <c r="S11" s="95"/>
      <c r="T11" s="24"/>
      <c r="U11" s="24"/>
      <c r="V11" s="24"/>
      <c r="W11" s="24"/>
      <c r="X11" s="24"/>
      <c r="Y11" s="24"/>
    </row>
    <row r="12">
      <c r="A12" s="92" t="s">
        <v>259</v>
      </c>
      <c r="B12" s="92" t="s">
        <v>260</v>
      </c>
      <c r="C12" s="92" t="s">
        <v>263</v>
      </c>
      <c r="D12" s="141">
        <v>45488.0</v>
      </c>
      <c r="E12" s="142">
        <v>45853.0</v>
      </c>
      <c r="F12" s="143" t="s">
        <v>270</v>
      </c>
      <c r="G12" s="98">
        <f>E12-TODAY()</f>
        <v>-384</v>
      </c>
      <c r="H12" s="96" t="b">
        <v>0</v>
      </c>
      <c r="I12" s="130" t="s">
        <v>274</v>
      </c>
      <c r="J12" s="56" t="s">
        <v>282</v>
      </c>
      <c r="K12" s="24"/>
      <c r="L12" s="106">
        <v>3.0</v>
      </c>
      <c r="M12" s="108" t="s">
        <v>288</v>
      </c>
      <c r="N12" s="108" t="s">
        <v>292</v>
      </c>
      <c r="O12" s="108" t="s">
        <v>174</v>
      </c>
      <c r="P12" s="108" t="s">
        <v>176</v>
      </c>
      <c r="Q12" s="110" t="s">
        <v>179</v>
      </c>
      <c r="R12" s="110" t="s">
        <v>181</v>
      </c>
      <c r="S12" s="56" t="s">
        <v>182</v>
      </c>
      <c r="T12" s="24"/>
      <c r="U12" s="24"/>
      <c r="V12" s="24"/>
      <c r="W12" s="24"/>
      <c r="X12" s="24"/>
      <c r="Y12" s="24"/>
    </row>
    <row r="13">
      <c r="K13" s="24"/>
      <c r="O13" s="108" t="s">
        <v>188</v>
      </c>
      <c r="P13" s="108"/>
      <c r="Q13" s="110" t="s">
        <v>191</v>
      </c>
      <c r="R13" s="110" t="s">
        <v>192</v>
      </c>
      <c r="S13" s="24"/>
      <c r="T13" s="24"/>
      <c r="U13" s="24"/>
      <c r="V13" s="24"/>
      <c r="W13" s="24"/>
      <c r="X13" s="24"/>
      <c r="Y13" s="24"/>
    </row>
    <row r="14">
      <c r="A14" s="153" t="s">
        <v>304</v>
      </c>
      <c r="B14" s="154" t="s">
        <v>307</v>
      </c>
      <c r="C14" s="155" t="s">
        <v>308</v>
      </c>
      <c r="D14" s="157">
        <v>46113.0</v>
      </c>
      <c r="E14" s="157">
        <v>46477.0</v>
      </c>
      <c r="F14" s="155" t="s">
        <v>56</v>
      </c>
      <c r="G14" s="96">
        <f t="shared" ref="G14:G24" si="1">E14-TODAY()</f>
        <v>240</v>
      </c>
      <c r="H14" s="98" t="b">
        <v>1</v>
      </c>
      <c r="I14" s="104" t="s">
        <v>321</v>
      </c>
      <c r="J14" s="24"/>
      <c r="K14" s="24"/>
      <c r="L14" s="131">
        <v>4.0</v>
      </c>
      <c r="M14" s="132" t="s">
        <v>340</v>
      </c>
      <c r="N14" s="132" t="s">
        <v>292</v>
      </c>
      <c r="O14" s="132" t="s">
        <v>342</v>
      </c>
      <c r="P14" s="132" t="s">
        <v>343</v>
      </c>
      <c r="Q14" s="132" t="s">
        <v>345</v>
      </c>
      <c r="R14" s="132" t="s">
        <v>346</v>
      </c>
      <c r="S14" s="95"/>
      <c r="T14" s="24"/>
      <c r="U14" s="24"/>
      <c r="V14" s="24"/>
      <c r="W14" s="24"/>
      <c r="X14" s="24"/>
      <c r="Y14" s="24"/>
    </row>
    <row r="15">
      <c r="A15" s="169" t="s">
        <v>304</v>
      </c>
      <c r="B15" s="143" t="s">
        <v>355</v>
      </c>
      <c r="C15" s="170" t="s">
        <v>308</v>
      </c>
      <c r="D15" s="164">
        <v>46113.0</v>
      </c>
      <c r="E15" s="164">
        <v>46477.0</v>
      </c>
      <c r="F15" s="170" t="s">
        <v>56</v>
      </c>
      <c r="G15" s="96">
        <f t="shared" si="1"/>
        <v>240</v>
      </c>
      <c r="H15" s="98" t="b">
        <v>1</v>
      </c>
      <c r="I15" s="104" t="s">
        <v>365</v>
      </c>
      <c r="J15" s="24"/>
      <c r="K15" s="24"/>
      <c r="L15" s="106">
        <v>5.0</v>
      </c>
      <c r="M15" s="108" t="s">
        <v>386</v>
      </c>
      <c r="N15" s="108" t="s">
        <v>292</v>
      </c>
      <c r="O15" s="108" t="s">
        <v>342</v>
      </c>
      <c r="P15" s="108" t="s">
        <v>343</v>
      </c>
      <c r="Q15" s="108" t="s">
        <v>345</v>
      </c>
      <c r="R15" s="108" t="s">
        <v>346</v>
      </c>
      <c r="S15" s="24"/>
      <c r="T15" s="24"/>
      <c r="U15" s="24"/>
      <c r="V15" s="24"/>
      <c r="W15" s="24"/>
      <c r="X15" s="24"/>
      <c r="Y15" s="24"/>
    </row>
    <row r="16">
      <c r="A16" s="169" t="s">
        <v>397</v>
      </c>
      <c r="B16" s="143" t="s">
        <v>399</v>
      </c>
      <c r="C16" s="143" t="s">
        <v>401</v>
      </c>
      <c r="D16" s="164">
        <v>45923.0</v>
      </c>
      <c r="E16" s="178">
        <v>46104.0</v>
      </c>
      <c r="F16" s="143" t="s">
        <v>270</v>
      </c>
      <c r="G16" s="96">
        <f t="shared" si="1"/>
        <v>-133</v>
      </c>
      <c r="H16" s="96" t="b">
        <v>0</v>
      </c>
      <c r="I16" s="104" t="s">
        <v>410</v>
      </c>
      <c r="J16" s="56" t="s">
        <v>282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56" t="s">
        <v>412</v>
      </c>
      <c r="B17" s="56" t="s">
        <v>413</v>
      </c>
      <c r="C17" s="56" t="s">
        <v>401</v>
      </c>
      <c r="D17" s="187" t="s">
        <v>112</v>
      </c>
      <c r="E17" s="142">
        <v>46276.0</v>
      </c>
      <c r="F17" s="155" t="s">
        <v>56</v>
      </c>
      <c r="G17" s="96">
        <f t="shared" si="1"/>
        <v>39</v>
      </c>
      <c r="H17" s="96" t="b">
        <v>0</v>
      </c>
      <c r="I17" s="104" t="s">
        <v>414</v>
      </c>
      <c r="J17" s="56" t="s">
        <v>282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92" t="s">
        <v>415</v>
      </c>
      <c r="B18" s="92" t="s">
        <v>416</v>
      </c>
      <c r="C18" s="92" t="s">
        <v>417</v>
      </c>
      <c r="D18" s="141">
        <v>45725.0</v>
      </c>
      <c r="E18" s="141">
        <v>46598.0</v>
      </c>
      <c r="F18" s="170" t="s">
        <v>56</v>
      </c>
      <c r="G18" s="96">
        <f t="shared" si="1"/>
        <v>361</v>
      </c>
      <c r="H18" s="96" t="b">
        <v>0</v>
      </c>
      <c r="I18" s="130" t="s">
        <v>418</v>
      </c>
      <c r="J18" s="56" t="s">
        <v>282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193" t="s">
        <v>420</v>
      </c>
      <c r="B19" s="155" t="s">
        <v>348</v>
      </c>
      <c r="C19" s="155" t="s">
        <v>351</v>
      </c>
      <c r="D19" s="194">
        <v>45804.0</v>
      </c>
      <c r="E19" s="195">
        <v>46500.0</v>
      </c>
      <c r="F19" s="196" t="s">
        <v>421</v>
      </c>
      <c r="G19" s="96">
        <f t="shared" si="1"/>
        <v>263</v>
      </c>
      <c r="H19" s="98" t="b">
        <v>1</v>
      </c>
      <c r="I19" s="130" t="s">
        <v>422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92" t="s">
        <v>423</v>
      </c>
      <c r="B20" s="92" t="s">
        <v>424</v>
      </c>
      <c r="C20" s="92" t="s">
        <v>425</v>
      </c>
      <c r="D20" s="197" t="s">
        <v>112</v>
      </c>
      <c r="E20" s="141">
        <v>46598.0</v>
      </c>
      <c r="F20" s="170" t="s">
        <v>56</v>
      </c>
      <c r="G20" s="96">
        <f t="shared" si="1"/>
        <v>361</v>
      </c>
      <c r="H20" s="96" t="b">
        <v>0</v>
      </c>
      <c r="I20" s="130" t="s">
        <v>426</v>
      </c>
      <c r="J20" s="56" t="s">
        <v>282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92" t="s">
        <v>427</v>
      </c>
      <c r="B21" s="92" t="s">
        <v>428</v>
      </c>
      <c r="C21" s="92" t="s">
        <v>425</v>
      </c>
      <c r="D21" s="141">
        <v>43810.0</v>
      </c>
      <c r="E21" s="141">
        <v>45637.0</v>
      </c>
      <c r="F21" s="143" t="s">
        <v>431</v>
      </c>
      <c r="G21" s="96">
        <f t="shared" si="1"/>
        <v>-600</v>
      </c>
      <c r="H21" s="98" t="b">
        <v>1</v>
      </c>
      <c r="I21" s="130" t="s">
        <v>432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D22" s="141">
        <v>45637.0</v>
      </c>
      <c r="E22" s="141">
        <v>47463.0</v>
      </c>
      <c r="F22" s="143" t="s">
        <v>56</v>
      </c>
      <c r="G22" s="96">
        <f t="shared" si="1"/>
        <v>1226</v>
      </c>
      <c r="H22" s="96" t="b">
        <v>0</v>
      </c>
      <c r="I22" s="130" t="s">
        <v>435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56" t="s">
        <v>440</v>
      </c>
      <c r="B23" s="56" t="s">
        <v>441</v>
      </c>
      <c r="C23" s="56" t="s">
        <v>442</v>
      </c>
      <c r="D23" s="210" t="s">
        <v>443</v>
      </c>
      <c r="E23" s="117">
        <v>47819.0</v>
      </c>
      <c r="F23" s="213"/>
      <c r="G23" s="96">
        <f t="shared" si="1"/>
        <v>1582</v>
      </c>
      <c r="H23" s="98" t="b">
        <v>1</v>
      </c>
      <c r="I23" s="104" t="s">
        <v>446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92" t="s">
        <v>440</v>
      </c>
      <c r="B24" s="92" t="s">
        <v>449</v>
      </c>
      <c r="C24" s="92" t="s">
        <v>442</v>
      </c>
      <c r="D24" s="93" t="s">
        <v>443</v>
      </c>
      <c r="E24" s="141">
        <v>47819.0</v>
      </c>
      <c r="F24" s="219"/>
      <c r="G24" s="96">
        <f t="shared" si="1"/>
        <v>1582</v>
      </c>
      <c r="H24" s="98" t="b">
        <v>1</v>
      </c>
      <c r="I24" s="104" t="s">
        <v>446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22" t="s">
        <v>457</v>
      </c>
      <c r="B25" s="154" t="s">
        <v>458</v>
      </c>
      <c r="C25" s="154" t="s">
        <v>459</v>
      </c>
      <c r="D25" s="195">
        <v>40533.0</v>
      </c>
      <c r="E25" s="187" t="s">
        <v>460</v>
      </c>
      <c r="F25" s="155" t="s">
        <v>56</v>
      </c>
      <c r="G25" s="96"/>
      <c r="H25" s="98" t="b">
        <v>1</v>
      </c>
      <c r="I25" s="130" t="s">
        <v>462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92" t="s">
        <v>467</v>
      </c>
      <c r="B26" s="92" t="s">
        <v>468</v>
      </c>
      <c r="C26" s="92" t="s">
        <v>468</v>
      </c>
      <c r="D26" s="141">
        <v>42823.0</v>
      </c>
      <c r="E26" s="197" t="s">
        <v>460</v>
      </c>
      <c r="F26" s="170" t="s">
        <v>56</v>
      </c>
      <c r="G26" s="96"/>
      <c r="H26" s="98" t="b">
        <v>1</v>
      </c>
      <c r="I26" s="130" t="s">
        <v>470</v>
      </c>
      <c r="J26" s="56" t="s">
        <v>474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56" t="s">
        <v>467</v>
      </c>
      <c r="B27" s="56" t="s">
        <v>477</v>
      </c>
      <c r="C27" s="56" t="s">
        <v>477</v>
      </c>
      <c r="D27" s="240">
        <v>46057.0</v>
      </c>
      <c r="E27" s="117">
        <v>46421.0</v>
      </c>
      <c r="F27" s="155" t="s">
        <v>56</v>
      </c>
      <c r="G27" s="96"/>
      <c r="H27" s="98" t="b">
        <v>1</v>
      </c>
      <c r="I27" s="130" t="s">
        <v>479</v>
      </c>
      <c r="J27" s="56" t="s">
        <v>474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169" t="s">
        <v>495</v>
      </c>
      <c r="B28" s="143" t="s">
        <v>497</v>
      </c>
      <c r="C28" s="143" t="s">
        <v>425</v>
      </c>
      <c r="D28" s="164">
        <v>45709.0</v>
      </c>
      <c r="E28" s="165" t="s">
        <v>460</v>
      </c>
      <c r="F28" s="170" t="s">
        <v>56</v>
      </c>
      <c r="G28" s="96"/>
      <c r="H28" s="98" t="b">
        <v>0</v>
      </c>
      <c r="I28" s="104" t="s">
        <v>501</v>
      </c>
      <c r="J28" s="5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56" t="s">
        <v>513</v>
      </c>
      <c r="B29" s="56" t="s">
        <v>514</v>
      </c>
      <c r="C29" s="56" t="s">
        <v>515</v>
      </c>
      <c r="D29" s="195">
        <v>45975.0</v>
      </c>
      <c r="E29" s="187" t="s">
        <v>460</v>
      </c>
      <c r="F29" s="155" t="s">
        <v>56</v>
      </c>
      <c r="G29" s="96"/>
      <c r="H29" s="98" t="b">
        <v>1</v>
      </c>
      <c r="I29" s="104" t="s">
        <v>516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92" t="s">
        <v>523</v>
      </c>
      <c r="B30" s="92" t="s">
        <v>525</v>
      </c>
      <c r="C30" s="92" t="s">
        <v>200</v>
      </c>
      <c r="D30" s="164">
        <v>43796.0</v>
      </c>
      <c r="E30" s="165" t="s">
        <v>460</v>
      </c>
      <c r="F30" s="170" t="s">
        <v>56</v>
      </c>
      <c r="G30" s="96"/>
      <c r="H30" s="96" t="b">
        <v>0</v>
      </c>
      <c r="I30" s="130" t="s">
        <v>528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56" t="s">
        <v>523</v>
      </c>
      <c r="B31" s="56" t="s">
        <v>537</v>
      </c>
      <c r="C31" s="56" t="s">
        <v>200</v>
      </c>
      <c r="D31" s="195">
        <v>43796.0</v>
      </c>
      <c r="E31" s="187" t="s">
        <v>460</v>
      </c>
      <c r="F31" s="154" t="s">
        <v>56</v>
      </c>
      <c r="G31" s="96"/>
      <c r="H31" s="96" t="b">
        <v>0</v>
      </c>
      <c r="I31" s="130" t="s">
        <v>539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92" t="s">
        <v>523</v>
      </c>
      <c r="B32" s="92" t="s">
        <v>548</v>
      </c>
      <c r="C32" s="92" t="s">
        <v>200</v>
      </c>
      <c r="D32" s="164">
        <v>43796.0</v>
      </c>
      <c r="E32" s="165" t="s">
        <v>460</v>
      </c>
      <c r="F32" s="170" t="s">
        <v>56</v>
      </c>
      <c r="G32" s="96"/>
      <c r="H32" s="96" t="b">
        <v>0</v>
      </c>
      <c r="I32" s="130" t="s">
        <v>528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56" t="s">
        <v>550</v>
      </c>
      <c r="B33" s="56" t="s">
        <v>552</v>
      </c>
      <c r="C33" s="56" t="s">
        <v>200</v>
      </c>
      <c r="D33" s="195">
        <v>43796.0</v>
      </c>
      <c r="E33" s="187" t="s">
        <v>460</v>
      </c>
      <c r="F33" s="154" t="s">
        <v>56</v>
      </c>
      <c r="G33" s="96"/>
      <c r="H33" s="96" t="b">
        <v>0</v>
      </c>
      <c r="I33" s="104" t="s">
        <v>556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92" t="s">
        <v>566</v>
      </c>
      <c r="B34" s="92" t="s">
        <v>567</v>
      </c>
      <c r="C34" s="92" t="s">
        <v>442</v>
      </c>
      <c r="D34" s="164">
        <v>44422.0</v>
      </c>
      <c r="E34" s="165" t="s">
        <v>112</v>
      </c>
      <c r="F34" s="170"/>
      <c r="G34" s="96"/>
      <c r="H34" s="96" t="b">
        <v>0</v>
      </c>
      <c r="I34" s="130" t="s">
        <v>569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56" t="s">
        <v>566</v>
      </c>
      <c r="B35" s="56" t="s">
        <v>578</v>
      </c>
      <c r="C35" s="56" t="s">
        <v>442</v>
      </c>
      <c r="D35" s="195">
        <v>45259.0</v>
      </c>
      <c r="E35" s="306" t="s">
        <v>112</v>
      </c>
      <c r="F35" s="154"/>
      <c r="G35" s="96"/>
      <c r="H35" s="96" t="b">
        <v>0</v>
      </c>
      <c r="I35" s="130" t="s">
        <v>579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92" t="s">
        <v>566</v>
      </c>
      <c r="B36" s="92" t="s">
        <v>583</v>
      </c>
      <c r="C36" s="92" t="s">
        <v>442</v>
      </c>
      <c r="D36" s="164">
        <v>45162.0</v>
      </c>
      <c r="E36" s="165" t="s">
        <v>112</v>
      </c>
      <c r="F36" s="170"/>
      <c r="G36" s="96"/>
      <c r="H36" s="96" t="b">
        <v>0</v>
      </c>
      <c r="I36" s="130" t="s">
        <v>584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56" t="s">
        <v>566</v>
      </c>
      <c r="B37" s="56" t="s">
        <v>592</v>
      </c>
      <c r="C37" s="56" t="s">
        <v>442</v>
      </c>
      <c r="D37" s="195">
        <v>45162.0</v>
      </c>
      <c r="E37" s="306" t="s">
        <v>112</v>
      </c>
      <c r="F37" s="154"/>
      <c r="G37" s="96"/>
      <c r="H37" s="96" t="b">
        <v>0</v>
      </c>
      <c r="I37" s="130" t="s">
        <v>594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92" t="s">
        <v>566</v>
      </c>
      <c r="B38" s="92" t="s">
        <v>599</v>
      </c>
      <c r="C38" s="92" t="s">
        <v>442</v>
      </c>
      <c r="D38" s="164">
        <v>45162.0</v>
      </c>
      <c r="E38" s="165" t="s">
        <v>112</v>
      </c>
      <c r="F38" s="170"/>
      <c r="G38" s="96"/>
      <c r="H38" s="96" t="b">
        <v>0</v>
      </c>
      <c r="I38" s="130" t="s">
        <v>601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56" t="s">
        <v>566</v>
      </c>
      <c r="B39" s="56" t="s">
        <v>607</v>
      </c>
      <c r="C39" s="56" t="s">
        <v>442</v>
      </c>
      <c r="D39" s="187" t="s">
        <v>112</v>
      </c>
      <c r="E39" s="306" t="s">
        <v>112</v>
      </c>
      <c r="F39" s="154"/>
      <c r="G39" s="96"/>
      <c r="H39" s="96" t="b">
        <v>0</v>
      </c>
      <c r="I39" s="130" t="s">
        <v>608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92" t="s">
        <v>566</v>
      </c>
      <c r="B40" s="92" t="s">
        <v>613</v>
      </c>
      <c r="C40" s="92" t="s">
        <v>442</v>
      </c>
      <c r="D40" s="164">
        <v>43796.0</v>
      </c>
      <c r="E40" s="165" t="s">
        <v>112</v>
      </c>
      <c r="F40" s="170"/>
      <c r="G40" s="96"/>
      <c r="H40" s="96" t="b">
        <v>0</v>
      </c>
      <c r="I40" s="130" t="s">
        <v>616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56" t="s">
        <v>566</v>
      </c>
      <c r="B41" s="56" t="s">
        <v>622</v>
      </c>
      <c r="C41" s="56" t="s">
        <v>442</v>
      </c>
      <c r="D41" s="195">
        <v>45020.0</v>
      </c>
      <c r="E41" s="306" t="s">
        <v>112</v>
      </c>
      <c r="F41" s="154"/>
      <c r="G41" s="96"/>
      <c r="H41" s="96" t="b">
        <v>0</v>
      </c>
      <c r="I41" s="130" t="s">
        <v>624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92" t="s">
        <v>566</v>
      </c>
      <c r="B42" s="92" t="s">
        <v>632</v>
      </c>
      <c r="C42" s="92" t="s">
        <v>442</v>
      </c>
      <c r="D42" s="164">
        <v>45231.0</v>
      </c>
      <c r="E42" s="165" t="s">
        <v>112</v>
      </c>
      <c r="F42" s="170"/>
      <c r="G42" s="96"/>
      <c r="H42" s="96" t="b">
        <v>0</v>
      </c>
      <c r="I42" s="104" t="s">
        <v>633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56" t="s">
        <v>566</v>
      </c>
      <c r="B43" s="56" t="s">
        <v>638</v>
      </c>
      <c r="C43" s="56" t="s">
        <v>442</v>
      </c>
      <c r="D43" s="195">
        <v>44984.0</v>
      </c>
      <c r="E43" s="306" t="s">
        <v>112</v>
      </c>
      <c r="F43" s="154"/>
      <c r="G43" s="96"/>
      <c r="H43" s="96" t="b">
        <v>0</v>
      </c>
      <c r="I43" s="104" t="s">
        <v>639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92" t="s">
        <v>566</v>
      </c>
      <c r="B44" s="92" t="s">
        <v>645</v>
      </c>
      <c r="C44" s="92" t="s">
        <v>442</v>
      </c>
      <c r="D44" s="164">
        <v>45698.0</v>
      </c>
      <c r="E44" s="165" t="s">
        <v>112</v>
      </c>
      <c r="F44" s="170"/>
      <c r="G44" s="96"/>
      <c r="H44" s="96" t="b">
        <v>0</v>
      </c>
      <c r="I44" s="130" t="s">
        <v>646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92" t="s">
        <v>647</v>
      </c>
      <c r="B45" s="92" t="s">
        <v>648</v>
      </c>
      <c r="C45" s="92" t="s">
        <v>367</v>
      </c>
      <c r="D45" s="93" t="s">
        <v>112</v>
      </c>
      <c r="E45" s="93" t="s">
        <v>112</v>
      </c>
      <c r="F45" s="95"/>
      <c r="G45" s="96"/>
      <c r="H45" s="98" t="b">
        <v>1</v>
      </c>
      <c r="I45" s="130" t="s">
        <v>649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56" t="s">
        <v>651</v>
      </c>
      <c r="B46" s="56" t="s">
        <v>652</v>
      </c>
      <c r="C46" s="56" t="s">
        <v>653</v>
      </c>
      <c r="D46" s="210" t="s">
        <v>654</v>
      </c>
      <c r="E46" s="210" t="s">
        <v>655</v>
      </c>
      <c r="F46" s="24"/>
      <c r="G46" s="96"/>
      <c r="H46" s="98" t="b">
        <v>1</v>
      </c>
      <c r="I46" s="104" t="s">
        <v>656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92" t="s">
        <v>658</v>
      </c>
      <c r="B47" s="92" t="s">
        <v>660</v>
      </c>
      <c r="C47" s="92" t="s">
        <v>442</v>
      </c>
      <c r="D47" s="93" t="s">
        <v>443</v>
      </c>
      <c r="E47" s="93" t="s">
        <v>460</v>
      </c>
      <c r="F47" s="95"/>
      <c r="G47" s="96"/>
      <c r="H47" s="98" t="b">
        <v>1</v>
      </c>
      <c r="I47" s="104" t="s">
        <v>446</v>
      </c>
      <c r="J47" s="56" t="s">
        <v>662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356" t="s">
        <v>658</v>
      </c>
      <c r="B48" s="356" t="s">
        <v>663</v>
      </c>
      <c r="C48" s="356" t="s">
        <v>442</v>
      </c>
      <c r="D48" s="359" t="s">
        <v>443</v>
      </c>
      <c r="E48" s="359" t="s">
        <v>460</v>
      </c>
      <c r="F48" s="234"/>
      <c r="G48" s="96"/>
      <c r="H48" s="98" t="b">
        <v>1</v>
      </c>
      <c r="I48" s="104" t="s">
        <v>446</v>
      </c>
      <c r="J48" s="56" t="s">
        <v>662</v>
      </c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</row>
    <row r="49">
      <c r="A49" s="92" t="s">
        <v>651</v>
      </c>
      <c r="B49" s="92" t="s">
        <v>665</v>
      </c>
      <c r="C49" s="92" t="s">
        <v>442</v>
      </c>
      <c r="D49" s="361">
        <v>45986.0</v>
      </c>
      <c r="E49" s="141"/>
      <c r="F49" s="362"/>
      <c r="G49" s="96"/>
      <c r="H49" s="98" t="b">
        <v>1</v>
      </c>
      <c r="I49" s="130" t="s">
        <v>666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56" t="s">
        <v>669</v>
      </c>
      <c r="B50" s="56" t="s">
        <v>670</v>
      </c>
      <c r="C50" s="56" t="s">
        <v>671</v>
      </c>
      <c r="D50" s="364">
        <v>45307.0</v>
      </c>
      <c r="E50" s="365">
        <v>46402.0</v>
      </c>
      <c r="F50" s="213"/>
      <c r="G50" s="96">
        <f t="shared" ref="G50:G52" si="2">E50-TODAY()</f>
        <v>165</v>
      </c>
      <c r="H50" s="96" t="b">
        <v>0</v>
      </c>
      <c r="I50" s="130" t="s">
        <v>673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56" t="s">
        <v>669</v>
      </c>
      <c r="B51" s="56" t="s">
        <v>674</v>
      </c>
      <c r="C51" s="56" t="s">
        <v>675</v>
      </c>
      <c r="D51" s="364">
        <v>46064.0</v>
      </c>
      <c r="E51" s="365">
        <v>47159.0</v>
      </c>
      <c r="F51" s="24"/>
      <c r="G51" s="96">
        <f t="shared" si="2"/>
        <v>922</v>
      </c>
      <c r="H51" s="96" t="b">
        <v>0</v>
      </c>
      <c r="I51" s="130" t="s">
        <v>676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92" t="s">
        <v>678</v>
      </c>
      <c r="B52" s="92" t="s">
        <v>679</v>
      </c>
      <c r="C52" s="92" t="s">
        <v>680</v>
      </c>
      <c r="D52" s="361">
        <v>45658.0</v>
      </c>
      <c r="E52" s="142">
        <v>46053.0</v>
      </c>
      <c r="F52" s="197" t="s">
        <v>681</v>
      </c>
      <c r="G52" s="96">
        <f t="shared" si="2"/>
        <v>-184</v>
      </c>
      <c r="H52" s="98" t="b">
        <v>1</v>
      </c>
      <c r="I52" s="369" t="s">
        <v>682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92" t="s">
        <v>683</v>
      </c>
      <c r="B53" s="92" t="s">
        <v>684</v>
      </c>
      <c r="C53" s="92" t="s">
        <v>685</v>
      </c>
      <c r="D53" s="93" t="s">
        <v>460</v>
      </c>
      <c r="E53" s="93" t="s">
        <v>460</v>
      </c>
      <c r="F53" s="95"/>
      <c r="G53" s="96"/>
      <c r="H53" s="98" t="b">
        <v>1</v>
      </c>
      <c r="I53" s="130" t="s">
        <v>686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56" t="s">
        <v>683</v>
      </c>
      <c r="B54" s="56" t="s">
        <v>687</v>
      </c>
      <c r="C54" s="56" t="s">
        <v>685</v>
      </c>
      <c r="D54" s="210" t="s">
        <v>460</v>
      </c>
      <c r="E54" s="210" t="s">
        <v>460</v>
      </c>
      <c r="F54" s="24"/>
      <c r="G54" s="96"/>
      <c r="H54" s="98" t="b">
        <v>1</v>
      </c>
      <c r="I54" s="130" t="s">
        <v>686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92" t="s">
        <v>683</v>
      </c>
      <c r="B55" s="92" t="s">
        <v>688</v>
      </c>
      <c r="C55" s="92" t="s">
        <v>685</v>
      </c>
      <c r="D55" s="93" t="s">
        <v>460</v>
      </c>
      <c r="E55" s="93" t="s">
        <v>460</v>
      </c>
      <c r="F55" s="95"/>
      <c r="G55" s="96"/>
      <c r="H55" s="98" t="b">
        <v>1</v>
      </c>
      <c r="I55" s="130" t="s">
        <v>686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56" t="s">
        <v>683</v>
      </c>
      <c r="B56" s="56" t="s">
        <v>689</v>
      </c>
      <c r="C56" s="56" t="s">
        <v>685</v>
      </c>
      <c r="D56" s="210" t="s">
        <v>460</v>
      </c>
      <c r="E56" s="210" t="s">
        <v>460</v>
      </c>
      <c r="F56" s="24"/>
      <c r="G56" s="96"/>
      <c r="H56" s="98" t="b">
        <v>1</v>
      </c>
      <c r="I56" s="130" t="s">
        <v>686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92" t="s">
        <v>683</v>
      </c>
      <c r="B57" s="92" t="s">
        <v>174</v>
      </c>
      <c r="C57" s="92" t="s">
        <v>685</v>
      </c>
      <c r="D57" s="93" t="s">
        <v>460</v>
      </c>
      <c r="E57" s="93" t="s">
        <v>460</v>
      </c>
      <c r="F57" s="95"/>
      <c r="G57" s="96"/>
      <c r="H57" s="98" t="b">
        <v>1</v>
      </c>
      <c r="I57" s="130" t="s">
        <v>686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56" t="s">
        <v>683</v>
      </c>
      <c r="B58" s="56" t="s">
        <v>342</v>
      </c>
      <c r="C58" s="56" t="s">
        <v>685</v>
      </c>
      <c r="D58" s="210" t="s">
        <v>460</v>
      </c>
      <c r="E58" s="210" t="s">
        <v>460</v>
      </c>
      <c r="F58" s="24"/>
      <c r="G58" s="96"/>
      <c r="H58" s="98" t="b">
        <v>1</v>
      </c>
      <c r="I58" s="130" t="s">
        <v>686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92" t="s">
        <v>683</v>
      </c>
      <c r="B59" s="92" t="s">
        <v>690</v>
      </c>
      <c r="C59" s="92" t="s">
        <v>685</v>
      </c>
      <c r="D59" s="93" t="s">
        <v>460</v>
      </c>
      <c r="E59" s="93" t="s">
        <v>460</v>
      </c>
      <c r="F59" s="95"/>
      <c r="G59" s="96"/>
      <c r="H59" s="98" t="b">
        <v>1</v>
      </c>
      <c r="I59" s="130" t="s">
        <v>686</v>
      </c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56" t="s">
        <v>691</v>
      </c>
      <c r="B60" s="56" t="s">
        <v>692</v>
      </c>
      <c r="C60" s="56" t="s">
        <v>693</v>
      </c>
      <c r="D60" s="370">
        <v>45709.0</v>
      </c>
      <c r="E60" s="240">
        <v>46804.0</v>
      </c>
      <c r="F60" s="24"/>
      <c r="G60" s="96">
        <f>E60-TODAY()</f>
        <v>567</v>
      </c>
      <c r="H60" s="98" t="b">
        <v>1</v>
      </c>
      <c r="I60" s="130" t="s">
        <v>694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92" t="s">
        <v>695</v>
      </c>
      <c r="B61" s="92" t="s">
        <v>696</v>
      </c>
      <c r="C61" s="92" t="s">
        <v>697</v>
      </c>
      <c r="D61" s="371">
        <v>40583.0</v>
      </c>
      <c r="E61" s="93" t="s">
        <v>460</v>
      </c>
      <c r="F61" s="95"/>
      <c r="G61" s="96"/>
      <c r="H61" s="98" t="b">
        <v>1</v>
      </c>
      <c r="I61" s="130" t="s">
        <v>698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56" t="s">
        <v>699</v>
      </c>
      <c r="B62" s="56" t="s">
        <v>700</v>
      </c>
      <c r="C62" s="56" t="s">
        <v>697</v>
      </c>
      <c r="D62" s="370">
        <v>40533.0</v>
      </c>
      <c r="E62" s="210" t="s">
        <v>460</v>
      </c>
      <c r="F62" s="24"/>
      <c r="G62" s="96"/>
      <c r="H62" s="98" t="b">
        <v>1</v>
      </c>
      <c r="I62" s="104" t="s">
        <v>701</v>
      </c>
      <c r="J62" s="56" t="s">
        <v>702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92" t="s">
        <v>703</v>
      </c>
      <c r="B63" s="92" t="s">
        <v>704</v>
      </c>
      <c r="C63" s="92" t="s">
        <v>693</v>
      </c>
      <c r="D63" s="372">
        <v>42817.0</v>
      </c>
      <c r="E63" s="361">
        <v>44643.0</v>
      </c>
      <c r="F63" s="95"/>
      <c r="G63" s="96">
        <f>E63-TODAY()</f>
        <v>-1594</v>
      </c>
      <c r="H63" s="98" t="b">
        <v>1</v>
      </c>
      <c r="I63" s="104" t="s">
        <v>705</v>
      </c>
      <c r="J63" s="56" t="s">
        <v>706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56" t="s">
        <v>707</v>
      </c>
      <c r="B64" s="56" t="s">
        <v>708</v>
      </c>
      <c r="C64" s="56" t="s">
        <v>693</v>
      </c>
      <c r="D64" s="373">
        <v>43168.0</v>
      </c>
      <c r="E64" s="210" t="s">
        <v>460</v>
      </c>
      <c r="F64" s="24"/>
      <c r="G64" s="96"/>
      <c r="H64" s="98" t="b">
        <v>1</v>
      </c>
      <c r="I64" s="104" t="s">
        <v>709</v>
      </c>
      <c r="J64" s="56" t="s">
        <v>710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92" t="s">
        <v>707</v>
      </c>
      <c r="B65" s="92" t="s">
        <v>711</v>
      </c>
      <c r="C65" s="92" t="s">
        <v>200</v>
      </c>
      <c r="D65" s="372">
        <v>43796.0</v>
      </c>
      <c r="E65" s="93" t="s">
        <v>460</v>
      </c>
      <c r="F65" s="95"/>
      <c r="G65" s="96"/>
      <c r="H65" s="96" t="b">
        <v>0</v>
      </c>
      <c r="I65" s="104" t="s">
        <v>712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56" t="s">
        <v>707</v>
      </c>
      <c r="B66" s="56" t="s">
        <v>713</v>
      </c>
      <c r="C66" s="56" t="s">
        <v>200</v>
      </c>
      <c r="D66" s="370">
        <v>43796.0</v>
      </c>
      <c r="E66" s="210" t="s">
        <v>460</v>
      </c>
      <c r="F66" s="24"/>
      <c r="G66" s="96"/>
      <c r="H66" s="96" t="b">
        <v>0</v>
      </c>
      <c r="I66" s="104" t="s">
        <v>712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92" t="s">
        <v>707</v>
      </c>
      <c r="B67" s="92" t="s">
        <v>714</v>
      </c>
      <c r="C67" s="92" t="s">
        <v>200</v>
      </c>
      <c r="D67" s="372">
        <v>43796.0</v>
      </c>
      <c r="E67" s="93" t="s">
        <v>460</v>
      </c>
      <c r="F67" s="95"/>
      <c r="G67" s="96"/>
      <c r="H67" s="96" t="b">
        <v>0</v>
      </c>
      <c r="I67" s="104" t="s">
        <v>712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56" t="s">
        <v>707</v>
      </c>
      <c r="B68" s="56" t="s">
        <v>715</v>
      </c>
      <c r="C68" s="56" t="s">
        <v>200</v>
      </c>
      <c r="D68" s="370">
        <v>43796.0</v>
      </c>
      <c r="E68" s="210" t="s">
        <v>460</v>
      </c>
      <c r="F68" s="24"/>
      <c r="G68" s="96"/>
      <c r="H68" s="96" t="b">
        <v>0</v>
      </c>
      <c r="I68" s="104" t="s">
        <v>712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92" t="s">
        <v>716</v>
      </c>
      <c r="B69" s="92" t="s">
        <v>717</v>
      </c>
      <c r="C69" s="92" t="s">
        <v>718</v>
      </c>
      <c r="D69" s="371">
        <v>42986.0</v>
      </c>
      <c r="E69" s="93" t="s">
        <v>719</v>
      </c>
      <c r="F69" s="95"/>
      <c r="G69" s="96"/>
      <c r="H69" s="98" t="b">
        <v>1</v>
      </c>
      <c r="I69" s="104" t="s">
        <v>720</v>
      </c>
      <c r="J69" s="56" t="s">
        <v>721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56" t="s">
        <v>722</v>
      </c>
      <c r="B70" s="56" t="s">
        <v>723</v>
      </c>
      <c r="C70" s="56" t="s">
        <v>697</v>
      </c>
      <c r="D70" s="370">
        <v>43059.0</v>
      </c>
      <c r="E70" s="210" t="s">
        <v>460</v>
      </c>
      <c r="F70" s="24"/>
      <c r="G70" s="96"/>
      <c r="H70" s="98" t="b">
        <v>1</v>
      </c>
      <c r="I70" s="130" t="s">
        <v>724</v>
      </c>
      <c r="J70" s="56" t="s">
        <v>725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92" t="s">
        <v>726</v>
      </c>
      <c r="B71" s="92" t="s">
        <v>727</v>
      </c>
      <c r="C71" s="92" t="s">
        <v>200</v>
      </c>
      <c r="D71" s="95"/>
      <c r="E71" s="374">
        <v>46296.0</v>
      </c>
      <c r="F71" s="92" t="s">
        <v>728</v>
      </c>
      <c r="G71" s="96"/>
      <c r="H71" s="96" t="b">
        <v>0</v>
      </c>
      <c r="I71" s="61"/>
      <c r="J71" s="56" t="s">
        <v>729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56" t="s">
        <v>730</v>
      </c>
      <c r="B72" s="56" t="s">
        <v>731</v>
      </c>
      <c r="C72" s="56" t="s">
        <v>732</v>
      </c>
      <c r="D72" s="24"/>
      <c r="E72" s="375">
        <v>46296.0</v>
      </c>
      <c r="F72" s="56" t="s">
        <v>728</v>
      </c>
      <c r="G72" s="96"/>
      <c r="H72" s="96" t="b">
        <v>0</v>
      </c>
      <c r="I72" s="61"/>
      <c r="J72" s="56" t="s">
        <v>733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92" t="s">
        <v>734</v>
      </c>
      <c r="B73" s="92" t="s">
        <v>735</v>
      </c>
      <c r="C73" s="92" t="s">
        <v>736</v>
      </c>
      <c r="D73" s="95"/>
      <c r="E73" s="374">
        <v>46296.0</v>
      </c>
      <c r="F73" s="92" t="s">
        <v>737</v>
      </c>
      <c r="G73" s="96"/>
      <c r="H73" s="96" t="b">
        <v>0</v>
      </c>
      <c r="I73" s="61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56" t="s">
        <v>738</v>
      </c>
      <c r="B74" s="56" t="s">
        <v>739</v>
      </c>
      <c r="C74" s="56" t="s">
        <v>442</v>
      </c>
      <c r="D74" s="373">
        <v>45932.0</v>
      </c>
      <c r="E74" s="375">
        <v>47027.0</v>
      </c>
      <c r="F74" s="24"/>
      <c r="G74" s="96"/>
      <c r="H74" s="96" t="b">
        <v>0</v>
      </c>
      <c r="I74" s="130" t="s">
        <v>740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92" t="s">
        <v>741</v>
      </c>
      <c r="B75" s="92" t="s">
        <v>742</v>
      </c>
      <c r="C75" s="92" t="s">
        <v>743</v>
      </c>
      <c r="D75" s="372">
        <v>45728.0</v>
      </c>
      <c r="E75" s="361">
        <v>56685.0</v>
      </c>
      <c r="F75" s="95"/>
      <c r="G75" s="96">
        <f t="shared" ref="G75:G79" si="3">E75-TODAY()</f>
        <v>10448</v>
      </c>
      <c r="H75" s="96" t="b">
        <v>0</v>
      </c>
      <c r="I75" s="130" t="s">
        <v>744</v>
      </c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56" t="s">
        <v>741</v>
      </c>
      <c r="B76" s="56" t="s">
        <v>745</v>
      </c>
      <c r="C76" s="56" t="s">
        <v>743</v>
      </c>
      <c r="D76" s="370">
        <v>45719.0</v>
      </c>
      <c r="E76" s="240">
        <v>56676.0</v>
      </c>
      <c r="F76" s="24"/>
      <c r="G76" s="96">
        <f t="shared" si="3"/>
        <v>10439</v>
      </c>
      <c r="H76" s="96" t="b">
        <v>0</v>
      </c>
      <c r="I76" s="104" t="s">
        <v>744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92" t="s">
        <v>741</v>
      </c>
      <c r="B77" s="92" t="s">
        <v>746</v>
      </c>
      <c r="C77" s="92" t="s">
        <v>743</v>
      </c>
      <c r="D77" s="372">
        <v>45728.0</v>
      </c>
      <c r="E77" s="361">
        <v>56685.0</v>
      </c>
      <c r="F77" s="95"/>
      <c r="G77" s="96">
        <f t="shared" si="3"/>
        <v>10448</v>
      </c>
      <c r="H77" s="96" t="b">
        <v>0</v>
      </c>
      <c r="I77" s="130" t="s">
        <v>744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56" t="s">
        <v>741</v>
      </c>
      <c r="B78" s="56" t="s">
        <v>747</v>
      </c>
      <c r="C78" s="56" t="s">
        <v>743</v>
      </c>
      <c r="D78" s="370">
        <v>45719.0</v>
      </c>
      <c r="E78" s="240">
        <v>56676.0</v>
      </c>
      <c r="F78" s="24"/>
      <c r="G78" s="96">
        <f t="shared" si="3"/>
        <v>10439</v>
      </c>
      <c r="H78" s="96" t="b">
        <v>0</v>
      </c>
      <c r="I78" s="104" t="s">
        <v>744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56" t="s">
        <v>748</v>
      </c>
      <c r="B79" s="56" t="s">
        <v>749</v>
      </c>
      <c r="C79" s="24"/>
      <c r="D79" s="373">
        <v>46204.0</v>
      </c>
      <c r="E79" s="375">
        <v>46569.0</v>
      </c>
      <c r="F79" s="56" t="s">
        <v>750</v>
      </c>
      <c r="G79" s="96">
        <f t="shared" si="3"/>
        <v>332</v>
      </c>
      <c r="H79" s="96" t="b">
        <v>0</v>
      </c>
      <c r="I79" s="61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56" t="s">
        <v>751</v>
      </c>
      <c r="B80" s="56" t="s">
        <v>752</v>
      </c>
      <c r="C80" s="24"/>
      <c r="D80" s="370">
        <v>46195.0</v>
      </c>
      <c r="E80" s="240">
        <v>47290.0</v>
      </c>
      <c r="F80" s="56" t="s">
        <v>753</v>
      </c>
      <c r="G80" s="24"/>
      <c r="H80" s="24"/>
      <c r="I80" s="61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24"/>
      <c r="B81" s="24"/>
      <c r="C81" s="24"/>
      <c r="D81" s="24"/>
      <c r="E81" s="58"/>
      <c r="F81" s="24"/>
      <c r="G81" s="24"/>
      <c r="H81" s="24"/>
      <c r="I81" s="61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24"/>
      <c r="B82" s="24"/>
      <c r="C82" s="24"/>
      <c r="D82" s="24"/>
      <c r="E82" s="58"/>
      <c r="F82" s="24"/>
      <c r="G82" s="24"/>
      <c r="H82" s="24"/>
      <c r="I82" s="61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24"/>
      <c r="B83" s="24"/>
      <c r="C83" s="24"/>
      <c r="D83" s="24"/>
      <c r="E83" s="58"/>
      <c r="F83" s="24"/>
      <c r="G83" s="24"/>
      <c r="H83" s="24"/>
      <c r="I83" s="61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4"/>
      <c r="B84" s="24"/>
      <c r="C84" s="24"/>
      <c r="D84" s="24"/>
      <c r="E84" s="58"/>
      <c r="F84" s="24"/>
      <c r="G84" s="24"/>
      <c r="H84" s="24"/>
      <c r="I84" s="61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4"/>
      <c r="B85" s="24"/>
      <c r="C85" s="24"/>
      <c r="D85" s="24"/>
      <c r="E85" s="58"/>
      <c r="F85" s="24"/>
      <c r="G85" s="24"/>
      <c r="H85" s="24"/>
      <c r="I85" s="61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24"/>
      <c r="B86" s="24"/>
      <c r="C86" s="24"/>
      <c r="D86" s="24"/>
      <c r="E86" s="58"/>
      <c r="F86" s="24"/>
      <c r="G86" s="24"/>
      <c r="H86" s="24"/>
      <c r="I86" s="61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24"/>
      <c r="B87" s="24"/>
      <c r="C87" s="24"/>
      <c r="D87" s="24"/>
      <c r="E87" s="58"/>
      <c r="F87" s="24"/>
      <c r="G87" s="24"/>
      <c r="H87" s="24"/>
      <c r="I87" s="61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24"/>
      <c r="B88" s="24"/>
      <c r="C88" s="24"/>
      <c r="D88" s="24"/>
      <c r="E88" s="58"/>
      <c r="F88" s="24"/>
      <c r="G88" s="24"/>
      <c r="H88" s="24"/>
      <c r="I88" s="61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4"/>
      <c r="B89" s="24"/>
      <c r="C89" s="24"/>
      <c r="D89" s="24"/>
      <c r="E89" s="58"/>
      <c r="F89" s="24"/>
      <c r="G89" s="24"/>
      <c r="H89" s="24"/>
      <c r="I89" s="61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24"/>
      <c r="B90" s="24"/>
      <c r="C90" s="24"/>
      <c r="D90" s="24"/>
      <c r="E90" s="58"/>
      <c r="F90" s="24"/>
      <c r="G90" s="24"/>
      <c r="H90" s="24"/>
      <c r="I90" s="61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24"/>
      <c r="B91" s="24"/>
      <c r="C91" s="24"/>
      <c r="D91" s="24"/>
      <c r="E91" s="58"/>
      <c r="F91" s="24"/>
      <c r="G91" s="24"/>
      <c r="H91" s="24"/>
      <c r="I91" s="61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24"/>
      <c r="B92" s="24"/>
      <c r="C92" s="24"/>
      <c r="D92" s="24"/>
      <c r="E92" s="58"/>
      <c r="F92" s="24"/>
      <c r="G92" s="24"/>
      <c r="H92" s="24"/>
      <c r="I92" s="61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24"/>
      <c r="B93" s="24"/>
      <c r="C93" s="24"/>
      <c r="D93" s="24"/>
      <c r="E93" s="58"/>
      <c r="F93" s="24"/>
      <c r="G93" s="24"/>
      <c r="H93" s="24"/>
      <c r="I93" s="61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24"/>
      <c r="B94" s="24"/>
      <c r="C94" s="24"/>
      <c r="D94" s="24"/>
      <c r="E94" s="58"/>
      <c r="F94" s="24"/>
      <c r="G94" s="24"/>
      <c r="H94" s="24"/>
      <c r="I94" s="61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4"/>
      <c r="B95" s="24"/>
      <c r="C95" s="24"/>
      <c r="D95" s="24"/>
      <c r="E95" s="58"/>
      <c r="F95" s="24"/>
      <c r="G95" s="24"/>
      <c r="H95" s="24"/>
      <c r="I95" s="61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4"/>
      <c r="B96" s="24"/>
      <c r="C96" s="24"/>
      <c r="D96" s="24"/>
      <c r="E96" s="58"/>
      <c r="F96" s="24"/>
      <c r="G96" s="24"/>
      <c r="H96" s="24"/>
      <c r="I96" s="61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24"/>
      <c r="B97" s="24"/>
      <c r="C97" s="24"/>
      <c r="D97" s="24"/>
      <c r="E97" s="58"/>
      <c r="F97" s="24"/>
      <c r="G97" s="24"/>
      <c r="H97" s="24"/>
      <c r="I97" s="61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24"/>
      <c r="B98" s="24"/>
      <c r="C98" s="24"/>
      <c r="D98" s="24"/>
      <c r="E98" s="58"/>
      <c r="F98" s="24"/>
      <c r="G98" s="24"/>
      <c r="H98" s="24"/>
      <c r="I98" s="61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24"/>
      <c r="B99" s="24"/>
      <c r="C99" s="24"/>
      <c r="D99" s="24"/>
      <c r="E99" s="58"/>
      <c r="F99" s="24"/>
      <c r="G99" s="24"/>
      <c r="H99" s="24"/>
      <c r="I99" s="61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24"/>
      <c r="B100" s="24"/>
      <c r="C100" s="24"/>
      <c r="D100" s="24"/>
      <c r="E100" s="58"/>
      <c r="F100" s="24"/>
      <c r="G100" s="24"/>
      <c r="H100" s="24"/>
      <c r="I100" s="61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4"/>
      <c r="B101" s="24"/>
      <c r="C101" s="24"/>
      <c r="D101" s="24"/>
      <c r="E101" s="58"/>
      <c r="F101" s="24"/>
      <c r="G101" s="24"/>
      <c r="H101" s="24"/>
      <c r="I101" s="61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24"/>
      <c r="B102" s="24"/>
      <c r="C102" s="24"/>
      <c r="D102" s="24"/>
      <c r="E102" s="58"/>
      <c r="F102" s="24"/>
      <c r="G102" s="24"/>
      <c r="H102" s="24"/>
      <c r="I102" s="61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24"/>
      <c r="B103" s="24"/>
      <c r="C103" s="24"/>
      <c r="D103" s="24"/>
      <c r="E103" s="58"/>
      <c r="F103" s="24"/>
      <c r="G103" s="24"/>
      <c r="H103" s="24"/>
      <c r="I103" s="61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24"/>
      <c r="B104" s="24"/>
      <c r="C104" s="24"/>
      <c r="D104" s="24"/>
      <c r="E104" s="58"/>
      <c r="F104" s="24"/>
      <c r="G104" s="24"/>
      <c r="H104" s="24"/>
      <c r="I104" s="61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4"/>
      <c r="B105" s="24"/>
      <c r="C105" s="24"/>
      <c r="D105" s="24"/>
      <c r="E105" s="58"/>
      <c r="F105" s="24"/>
      <c r="G105" s="24"/>
      <c r="H105" s="24"/>
      <c r="I105" s="61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4"/>
      <c r="B106" s="24"/>
      <c r="C106" s="24"/>
      <c r="D106" s="24"/>
      <c r="E106" s="58"/>
      <c r="F106" s="24"/>
      <c r="G106" s="24"/>
      <c r="H106" s="24"/>
      <c r="I106" s="61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24"/>
      <c r="B107" s="24"/>
      <c r="C107" s="24"/>
      <c r="D107" s="24"/>
      <c r="E107" s="58"/>
      <c r="F107" s="24"/>
      <c r="G107" s="24"/>
      <c r="H107" s="24"/>
      <c r="I107" s="61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24"/>
      <c r="B108" s="24"/>
      <c r="C108" s="24"/>
      <c r="D108" s="24"/>
      <c r="E108" s="58"/>
      <c r="F108" s="24"/>
      <c r="G108" s="24"/>
      <c r="H108" s="24"/>
      <c r="I108" s="61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24"/>
      <c r="B109" s="24"/>
      <c r="C109" s="24"/>
      <c r="D109" s="24"/>
      <c r="E109" s="58"/>
      <c r="F109" s="24"/>
      <c r="G109" s="24"/>
      <c r="H109" s="24"/>
      <c r="I109" s="61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4"/>
      <c r="B110" s="24"/>
      <c r="C110" s="24"/>
      <c r="D110" s="24"/>
      <c r="E110" s="58"/>
      <c r="F110" s="24"/>
      <c r="G110" s="24"/>
      <c r="H110" s="24"/>
      <c r="I110" s="61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24"/>
      <c r="B111" s="24"/>
      <c r="C111" s="24"/>
      <c r="D111" s="24"/>
      <c r="E111" s="58"/>
      <c r="F111" s="24"/>
      <c r="G111" s="24"/>
      <c r="H111" s="24"/>
      <c r="I111" s="61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24"/>
      <c r="B112" s="24"/>
      <c r="C112" s="24"/>
      <c r="D112" s="24"/>
      <c r="E112" s="58"/>
      <c r="F112" s="24"/>
      <c r="G112" s="24"/>
      <c r="H112" s="24"/>
      <c r="I112" s="61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24"/>
      <c r="B113" s="24"/>
      <c r="C113" s="24"/>
      <c r="D113" s="24"/>
      <c r="E113" s="58"/>
      <c r="F113" s="24"/>
      <c r="G113" s="24"/>
      <c r="H113" s="24"/>
      <c r="I113" s="61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24"/>
      <c r="B114" s="24"/>
      <c r="C114" s="24"/>
      <c r="D114" s="24"/>
      <c r="E114" s="58"/>
      <c r="F114" s="24"/>
      <c r="G114" s="24"/>
      <c r="H114" s="24"/>
      <c r="I114" s="61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4"/>
      <c r="B115" s="24"/>
      <c r="C115" s="24"/>
      <c r="D115" s="24"/>
      <c r="E115" s="58"/>
      <c r="F115" s="24"/>
      <c r="G115" s="24"/>
      <c r="H115" s="24"/>
      <c r="I115" s="61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24"/>
      <c r="B116" s="24"/>
      <c r="C116" s="24"/>
      <c r="D116" s="24"/>
      <c r="E116" s="58"/>
      <c r="F116" s="24"/>
      <c r="G116" s="24"/>
      <c r="H116" s="24"/>
      <c r="I116" s="61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24"/>
      <c r="B117" s="24"/>
      <c r="C117" s="24"/>
      <c r="D117" s="24"/>
      <c r="E117" s="58"/>
      <c r="F117" s="24"/>
      <c r="G117" s="24"/>
      <c r="H117" s="24"/>
      <c r="I117" s="61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4"/>
      <c r="B118" s="24"/>
      <c r="C118" s="24"/>
      <c r="D118" s="24"/>
      <c r="E118" s="58"/>
      <c r="F118" s="24"/>
      <c r="G118" s="24"/>
      <c r="H118" s="24"/>
      <c r="I118" s="61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24"/>
      <c r="B119" s="24"/>
      <c r="C119" s="24"/>
      <c r="D119" s="24"/>
      <c r="E119" s="58"/>
      <c r="F119" s="24"/>
      <c r="G119" s="24"/>
      <c r="H119" s="24"/>
      <c r="I119" s="61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24"/>
      <c r="B120" s="24"/>
      <c r="C120" s="24"/>
      <c r="D120" s="24"/>
      <c r="E120" s="58"/>
      <c r="F120" s="24"/>
      <c r="G120" s="24"/>
      <c r="H120" s="24"/>
      <c r="I120" s="61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24"/>
      <c r="B121" s="24"/>
      <c r="C121" s="24"/>
      <c r="D121" s="24"/>
      <c r="E121" s="58"/>
      <c r="F121" s="24"/>
      <c r="G121" s="24"/>
      <c r="H121" s="24"/>
      <c r="I121" s="61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24"/>
      <c r="B122" s="24"/>
      <c r="C122" s="24"/>
      <c r="D122" s="24"/>
      <c r="E122" s="58"/>
      <c r="F122" s="24"/>
      <c r="G122" s="24"/>
      <c r="H122" s="24"/>
      <c r="I122" s="61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24"/>
      <c r="B123" s="24"/>
      <c r="C123" s="24"/>
      <c r="D123" s="24"/>
      <c r="E123" s="58"/>
      <c r="F123" s="24"/>
      <c r="G123" s="24"/>
      <c r="H123" s="24"/>
      <c r="I123" s="61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24"/>
      <c r="B124" s="24"/>
      <c r="C124" s="24"/>
      <c r="D124" s="24"/>
      <c r="E124" s="58"/>
      <c r="F124" s="24"/>
      <c r="G124" s="24"/>
      <c r="H124" s="24"/>
      <c r="I124" s="61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24"/>
      <c r="B125" s="24"/>
      <c r="C125" s="24"/>
      <c r="D125" s="24"/>
      <c r="E125" s="58"/>
      <c r="F125" s="24"/>
      <c r="G125" s="24"/>
      <c r="H125" s="24"/>
      <c r="I125" s="61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4"/>
      <c r="B126" s="24"/>
      <c r="C126" s="24"/>
      <c r="D126" s="24"/>
      <c r="E126" s="58"/>
      <c r="F126" s="24"/>
      <c r="G126" s="24"/>
      <c r="H126" s="24"/>
      <c r="I126" s="61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24"/>
      <c r="B127" s="24"/>
      <c r="C127" s="24"/>
      <c r="D127" s="24"/>
      <c r="E127" s="58"/>
      <c r="F127" s="24"/>
      <c r="G127" s="24"/>
      <c r="H127" s="24"/>
      <c r="I127" s="61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24"/>
      <c r="B128" s="24"/>
      <c r="C128" s="24"/>
      <c r="D128" s="24"/>
      <c r="E128" s="58"/>
      <c r="F128" s="24"/>
      <c r="G128" s="24"/>
      <c r="H128" s="24"/>
      <c r="I128" s="61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24"/>
      <c r="B129" s="24"/>
      <c r="C129" s="24"/>
      <c r="D129" s="24"/>
      <c r="E129" s="58"/>
      <c r="F129" s="24"/>
      <c r="G129" s="24"/>
      <c r="H129" s="24"/>
      <c r="I129" s="61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24"/>
      <c r="B130" s="24"/>
      <c r="C130" s="24"/>
      <c r="D130" s="24"/>
      <c r="E130" s="58"/>
      <c r="F130" s="24"/>
      <c r="G130" s="24"/>
      <c r="H130" s="24"/>
      <c r="I130" s="61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4"/>
      <c r="B131" s="24"/>
      <c r="C131" s="24"/>
      <c r="D131" s="24"/>
      <c r="E131" s="58"/>
      <c r="F131" s="24"/>
      <c r="G131" s="24"/>
      <c r="H131" s="24"/>
      <c r="I131" s="61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24"/>
      <c r="B132" s="24"/>
      <c r="C132" s="24"/>
      <c r="D132" s="24"/>
      <c r="E132" s="58"/>
      <c r="F132" s="24"/>
      <c r="G132" s="24"/>
      <c r="H132" s="24"/>
      <c r="I132" s="61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24"/>
      <c r="B133" s="24"/>
      <c r="C133" s="24"/>
      <c r="D133" s="24"/>
      <c r="E133" s="58"/>
      <c r="F133" s="24"/>
      <c r="G133" s="24"/>
      <c r="H133" s="24"/>
      <c r="I133" s="61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4"/>
      <c r="B134" s="24"/>
      <c r="C134" s="24"/>
      <c r="D134" s="24"/>
      <c r="E134" s="58"/>
      <c r="F134" s="24"/>
      <c r="G134" s="24"/>
      <c r="H134" s="24"/>
      <c r="I134" s="61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24"/>
      <c r="B135" s="24"/>
      <c r="C135" s="24"/>
      <c r="D135" s="24"/>
      <c r="E135" s="58"/>
      <c r="F135" s="24"/>
      <c r="G135" s="24"/>
      <c r="H135" s="24"/>
      <c r="I135" s="61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24"/>
      <c r="B136" s="24"/>
      <c r="C136" s="24"/>
      <c r="D136" s="24"/>
      <c r="E136" s="58"/>
      <c r="F136" s="24"/>
      <c r="G136" s="24"/>
      <c r="H136" s="24"/>
      <c r="I136" s="61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24"/>
      <c r="B137" s="24"/>
      <c r="C137" s="24"/>
      <c r="D137" s="24"/>
      <c r="E137" s="58"/>
      <c r="F137" s="24"/>
      <c r="G137" s="24"/>
      <c r="H137" s="24"/>
      <c r="I137" s="61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24"/>
      <c r="B138" s="24"/>
      <c r="C138" s="24"/>
      <c r="D138" s="24"/>
      <c r="E138" s="58"/>
      <c r="F138" s="24"/>
      <c r="G138" s="24"/>
      <c r="H138" s="24"/>
      <c r="I138" s="61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4"/>
      <c r="B139" s="24"/>
      <c r="C139" s="24"/>
      <c r="D139" s="24"/>
      <c r="E139" s="58"/>
      <c r="F139" s="24"/>
      <c r="G139" s="24"/>
      <c r="H139" s="24"/>
      <c r="I139" s="61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24"/>
      <c r="C140" s="24"/>
      <c r="D140" s="24"/>
      <c r="E140" s="58"/>
      <c r="F140" s="24"/>
      <c r="G140" s="24"/>
      <c r="H140" s="24"/>
      <c r="I140" s="61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24"/>
      <c r="C141" s="24"/>
      <c r="D141" s="24"/>
      <c r="E141" s="58"/>
      <c r="F141" s="24"/>
      <c r="G141" s="24"/>
      <c r="H141" s="24"/>
      <c r="I141" s="61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24"/>
      <c r="B142" s="24"/>
      <c r="C142" s="24"/>
      <c r="D142" s="24"/>
      <c r="E142" s="58"/>
      <c r="F142" s="24"/>
      <c r="G142" s="24"/>
      <c r="H142" s="24"/>
      <c r="I142" s="61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24"/>
      <c r="B143" s="24"/>
      <c r="C143" s="24"/>
      <c r="D143" s="24"/>
      <c r="E143" s="58"/>
      <c r="F143" s="24"/>
      <c r="G143" s="24"/>
      <c r="H143" s="24"/>
      <c r="I143" s="61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24"/>
      <c r="B144" s="24"/>
      <c r="C144" s="24"/>
      <c r="D144" s="24"/>
      <c r="E144" s="58"/>
      <c r="F144" s="24"/>
      <c r="G144" s="24"/>
      <c r="H144" s="24"/>
      <c r="I144" s="61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24"/>
      <c r="B145" s="24"/>
      <c r="C145" s="24"/>
      <c r="D145" s="24"/>
      <c r="E145" s="58"/>
      <c r="F145" s="24"/>
      <c r="G145" s="24"/>
      <c r="H145" s="24"/>
      <c r="I145" s="61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4"/>
      <c r="B146" s="24"/>
      <c r="C146" s="24"/>
      <c r="D146" s="24"/>
      <c r="E146" s="58"/>
      <c r="F146" s="24"/>
      <c r="G146" s="24"/>
      <c r="H146" s="24"/>
      <c r="I146" s="61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>
      <c r="A147" s="24"/>
      <c r="B147" s="24"/>
      <c r="C147" s="24"/>
      <c r="D147" s="24"/>
      <c r="E147" s="58"/>
      <c r="F147" s="24"/>
      <c r="G147" s="24"/>
      <c r="H147" s="24"/>
      <c r="I147" s="61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24"/>
      <c r="B148" s="24"/>
      <c r="C148" s="24"/>
      <c r="D148" s="24"/>
      <c r="E148" s="58"/>
      <c r="F148" s="24"/>
      <c r="G148" s="24"/>
      <c r="H148" s="24"/>
      <c r="I148" s="61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24"/>
      <c r="B149" s="24"/>
      <c r="C149" s="24"/>
      <c r="D149" s="24"/>
      <c r="E149" s="58"/>
      <c r="F149" s="24"/>
      <c r="G149" s="24"/>
      <c r="H149" s="24"/>
      <c r="I149" s="61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24"/>
      <c r="B150" s="24"/>
      <c r="C150" s="24"/>
      <c r="D150" s="24"/>
      <c r="E150" s="58"/>
      <c r="F150" s="24"/>
      <c r="G150" s="24"/>
      <c r="H150" s="24"/>
      <c r="I150" s="61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24"/>
      <c r="B151" s="24"/>
      <c r="C151" s="24"/>
      <c r="D151" s="24"/>
      <c r="E151" s="58"/>
      <c r="F151" s="24"/>
      <c r="G151" s="24"/>
      <c r="H151" s="24"/>
      <c r="I151" s="61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24"/>
      <c r="B152" s="24"/>
      <c r="C152" s="24"/>
      <c r="D152" s="24"/>
      <c r="E152" s="58"/>
      <c r="F152" s="24"/>
      <c r="G152" s="24"/>
      <c r="H152" s="24"/>
      <c r="I152" s="61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4"/>
      <c r="B153" s="24"/>
      <c r="C153" s="24"/>
      <c r="D153" s="24"/>
      <c r="E153" s="58"/>
      <c r="F153" s="24"/>
      <c r="G153" s="24"/>
      <c r="H153" s="24"/>
      <c r="I153" s="61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24"/>
      <c r="B154" s="24"/>
      <c r="C154" s="24"/>
      <c r="D154" s="24"/>
      <c r="E154" s="58"/>
      <c r="F154" s="24"/>
      <c r="G154" s="24"/>
      <c r="H154" s="24"/>
      <c r="I154" s="61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24"/>
      <c r="B155" s="24"/>
      <c r="C155" s="24"/>
      <c r="D155" s="24"/>
      <c r="E155" s="58"/>
      <c r="F155" s="24"/>
      <c r="G155" s="24"/>
      <c r="H155" s="24"/>
      <c r="I155" s="61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4"/>
      <c r="B156" s="24"/>
      <c r="C156" s="24"/>
      <c r="D156" s="24"/>
      <c r="E156" s="58"/>
      <c r="F156" s="24"/>
      <c r="G156" s="24"/>
      <c r="H156" s="24"/>
      <c r="I156" s="61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24"/>
      <c r="B157" s="24"/>
      <c r="C157" s="24"/>
      <c r="D157" s="24"/>
      <c r="E157" s="58"/>
      <c r="F157" s="24"/>
      <c r="G157" s="24"/>
      <c r="H157" s="24"/>
      <c r="I157" s="61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24"/>
      <c r="B158" s="24"/>
      <c r="C158" s="24"/>
      <c r="D158" s="24"/>
      <c r="E158" s="58"/>
      <c r="F158" s="24"/>
      <c r="G158" s="24"/>
      <c r="H158" s="24"/>
      <c r="I158" s="61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24"/>
      <c r="B159" s="24"/>
      <c r="C159" s="24"/>
      <c r="D159" s="24"/>
      <c r="E159" s="58"/>
      <c r="F159" s="24"/>
      <c r="G159" s="24"/>
      <c r="H159" s="24"/>
      <c r="I159" s="61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4"/>
      <c r="B160" s="24"/>
      <c r="C160" s="24"/>
      <c r="D160" s="24"/>
      <c r="E160" s="58"/>
      <c r="F160" s="24"/>
      <c r="G160" s="24"/>
      <c r="H160" s="24"/>
      <c r="I160" s="61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24"/>
      <c r="B161" s="24"/>
      <c r="C161" s="24"/>
      <c r="D161" s="24"/>
      <c r="E161" s="58"/>
      <c r="F161" s="24"/>
      <c r="G161" s="24"/>
      <c r="H161" s="24"/>
      <c r="I161" s="61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4"/>
      <c r="B162" s="24"/>
      <c r="C162" s="24"/>
      <c r="D162" s="24"/>
      <c r="E162" s="58"/>
      <c r="F162" s="24"/>
      <c r="G162" s="24"/>
      <c r="H162" s="24"/>
      <c r="I162" s="61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4"/>
      <c r="B163" s="24"/>
      <c r="C163" s="24"/>
      <c r="D163" s="24"/>
      <c r="E163" s="58"/>
      <c r="F163" s="24"/>
      <c r="G163" s="24"/>
      <c r="H163" s="24"/>
      <c r="I163" s="61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24"/>
      <c r="B164" s="24"/>
      <c r="C164" s="24"/>
      <c r="D164" s="24"/>
      <c r="E164" s="58"/>
      <c r="F164" s="24"/>
      <c r="G164" s="24"/>
      <c r="H164" s="24"/>
      <c r="I164" s="61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24"/>
      <c r="B165" s="24"/>
      <c r="C165" s="24"/>
      <c r="D165" s="24"/>
      <c r="E165" s="58"/>
      <c r="F165" s="24"/>
      <c r="G165" s="24"/>
      <c r="H165" s="24"/>
      <c r="I165" s="61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24"/>
      <c r="B166" s="24"/>
      <c r="C166" s="24"/>
      <c r="D166" s="24"/>
      <c r="E166" s="58"/>
      <c r="F166" s="24"/>
      <c r="G166" s="24"/>
      <c r="H166" s="24"/>
      <c r="I166" s="61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4"/>
      <c r="B167" s="24"/>
      <c r="C167" s="24"/>
      <c r="D167" s="24"/>
      <c r="E167" s="58"/>
      <c r="F167" s="24"/>
      <c r="G167" s="24"/>
      <c r="H167" s="24"/>
      <c r="I167" s="61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24"/>
      <c r="B168" s="24"/>
      <c r="C168" s="24"/>
      <c r="D168" s="24"/>
      <c r="E168" s="58"/>
      <c r="F168" s="24"/>
      <c r="G168" s="24"/>
      <c r="H168" s="24"/>
      <c r="I168" s="61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24"/>
      <c r="B169" s="24"/>
      <c r="C169" s="24"/>
      <c r="D169" s="24"/>
      <c r="E169" s="58"/>
      <c r="F169" s="24"/>
      <c r="G169" s="24"/>
      <c r="H169" s="24"/>
      <c r="I169" s="61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24"/>
      <c r="B170" s="24"/>
      <c r="C170" s="24"/>
      <c r="D170" s="24"/>
      <c r="E170" s="58"/>
      <c r="F170" s="24"/>
      <c r="G170" s="24"/>
      <c r="H170" s="24"/>
      <c r="I170" s="61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24"/>
      <c r="B171" s="24"/>
      <c r="C171" s="24"/>
      <c r="D171" s="24"/>
      <c r="E171" s="58"/>
      <c r="F171" s="24"/>
      <c r="G171" s="24"/>
      <c r="H171" s="24"/>
      <c r="I171" s="61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4"/>
      <c r="B172" s="24"/>
      <c r="C172" s="24"/>
      <c r="D172" s="24"/>
      <c r="E172" s="58"/>
      <c r="F172" s="24"/>
      <c r="G172" s="24"/>
      <c r="H172" s="24"/>
      <c r="I172" s="61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24"/>
      <c r="B173" s="24"/>
      <c r="C173" s="24"/>
      <c r="D173" s="24"/>
      <c r="E173" s="58"/>
      <c r="F173" s="24"/>
      <c r="G173" s="24"/>
      <c r="H173" s="24"/>
      <c r="I173" s="61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24"/>
      <c r="B174" s="24"/>
      <c r="C174" s="24"/>
      <c r="D174" s="24"/>
      <c r="E174" s="58"/>
      <c r="F174" s="24"/>
      <c r="G174" s="24"/>
      <c r="H174" s="24"/>
      <c r="I174" s="61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4"/>
      <c r="B175" s="24"/>
      <c r="C175" s="24"/>
      <c r="D175" s="24"/>
      <c r="E175" s="58"/>
      <c r="F175" s="24"/>
      <c r="G175" s="24"/>
      <c r="H175" s="24"/>
      <c r="I175" s="61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24"/>
      <c r="B176" s="24"/>
      <c r="C176" s="24"/>
      <c r="D176" s="24"/>
      <c r="E176" s="58"/>
      <c r="F176" s="24"/>
      <c r="G176" s="24"/>
      <c r="H176" s="24"/>
      <c r="I176" s="61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24"/>
      <c r="B177" s="24"/>
      <c r="C177" s="24"/>
      <c r="D177" s="24"/>
      <c r="E177" s="58"/>
      <c r="F177" s="24"/>
      <c r="G177" s="24"/>
      <c r="H177" s="24"/>
      <c r="I177" s="61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24"/>
      <c r="B178" s="24"/>
      <c r="C178" s="24"/>
      <c r="D178" s="24"/>
      <c r="E178" s="58"/>
      <c r="F178" s="24"/>
      <c r="G178" s="24"/>
      <c r="H178" s="24"/>
      <c r="I178" s="61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24"/>
      <c r="B179" s="24"/>
      <c r="C179" s="24"/>
      <c r="D179" s="24"/>
      <c r="E179" s="58"/>
      <c r="F179" s="24"/>
      <c r="G179" s="24"/>
      <c r="H179" s="24"/>
      <c r="I179" s="61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24"/>
      <c r="B180" s="24"/>
      <c r="C180" s="24"/>
      <c r="D180" s="24"/>
      <c r="E180" s="58"/>
      <c r="F180" s="24"/>
      <c r="G180" s="24"/>
      <c r="H180" s="24"/>
      <c r="I180" s="61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24"/>
      <c r="B181" s="24"/>
      <c r="C181" s="24"/>
      <c r="D181" s="24"/>
      <c r="E181" s="58"/>
      <c r="F181" s="24"/>
      <c r="G181" s="24"/>
      <c r="H181" s="24"/>
      <c r="I181" s="61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4"/>
      <c r="B182" s="24"/>
      <c r="C182" s="24"/>
      <c r="D182" s="24"/>
      <c r="E182" s="58"/>
      <c r="F182" s="24"/>
      <c r="G182" s="24"/>
      <c r="H182" s="24"/>
      <c r="I182" s="61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24"/>
      <c r="B183" s="24"/>
      <c r="C183" s="24"/>
      <c r="D183" s="24"/>
      <c r="E183" s="58"/>
      <c r="F183" s="24"/>
      <c r="G183" s="24"/>
      <c r="H183" s="24"/>
      <c r="I183" s="61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24"/>
      <c r="B184" s="24"/>
      <c r="C184" s="24"/>
      <c r="D184" s="24"/>
      <c r="E184" s="58"/>
      <c r="F184" s="24"/>
      <c r="G184" s="24"/>
      <c r="H184" s="24"/>
      <c r="I184" s="61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4"/>
      <c r="B185" s="24"/>
      <c r="C185" s="24"/>
      <c r="D185" s="24"/>
      <c r="E185" s="58"/>
      <c r="F185" s="24"/>
      <c r="G185" s="24"/>
      <c r="H185" s="24"/>
      <c r="I185" s="61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24"/>
      <c r="B186" s="24"/>
      <c r="C186" s="24"/>
      <c r="D186" s="24"/>
      <c r="E186" s="58"/>
      <c r="F186" s="24"/>
      <c r="G186" s="24"/>
      <c r="H186" s="24"/>
      <c r="I186" s="61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24"/>
      <c r="B187" s="24"/>
      <c r="C187" s="24"/>
      <c r="D187" s="24"/>
      <c r="E187" s="58"/>
      <c r="F187" s="24"/>
      <c r="G187" s="24"/>
      <c r="H187" s="24"/>
      <c r="I187" s="61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24"/>
      <c r="B188" s="24"/>
      <c r="C188" s="24"/>
      <c r="D188" s="24"/>
      <c r="E188" s="58"/>
      <c r="F188" s="24"/>
      <c r="G188" s="24"/>
      <c r="H188" s="24"/>
      <c r="I188" s="61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4"/>
      <c r="B189" s="24"/>
      <c r="C189" s="24"/>
      <c r="D189" s="24"/>
      <c r="E189" s="58"/>
      <c r="F189" s="24"/>
      <c r="G189" s="24"/>
      <c r="H189" s="24"/>
      <c r="I189" s="61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58"/>
      <c r="F190" s="24"/>
      <c r="G190" s="24"/>
      <c r="H190" s="24"/>
      <c r="I190" s="61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24"/>
      <c r="B191" s="24"/>
      <c r="C191" s="24"/>
      <c r="D191" s="24"/>
      <c r="E191" s="58"/>
      <c r="F191" s="24"/>
      <c r="G191" s="24"/>
      <c r="H191" s="24"/>
      <c r="I191" s="61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4"/>
      <c r="B192" s="24"/>
      <c r="C192" s="24"/>
      <c r="D192" s="24"/>
      <c r="E192" s="58"/>
      <c r="F192" s="24"/>
      <c r="G192" s="24"/>
      <c r="H192" s="24"/>
      <c r="I192" s="61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58"/>
      <c r="F193" s="24"/>
      <c r="G193" s="24"/>
      <c r="H193" s="24"/>
      <c r="I193" s="61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24"/>
      <c r="B194" s="24"/>
      <c r="C194" s="24"/>
      <c r="D194" s="24"/>
      <c r="E194" s="58"/>
      <c r="F194" s="24"/>
      <c r="G194" s="24"/>
      <c r="H194" s="24"/>
      <c r="I194" s="61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4"/>
      <c r="B195" s="24"/>
      <c r="C195" s="24"/>
      <c r="D195" s="24"/>
      <c r="E195" s="58"/>
      <c r="F195" s="24"/>
      <c r="G195" s="24"/>
      <c r="H195" s="24"/>
      <c r="I195" s="61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4"/>
      <c r="B196" s="24"/>
      <c r="C196" s="24"/>
      <c r="D196" s="24"/>
      <c r="E196" s="58"/>
      <c r="F196" s="24"/>
      <c r="G196" s="24"/>
      <c r="H196" s="24"/>
      <c r="I196" s="61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24"/>
      <c r="B197" s="24"/>
      <c r="C197" s="24"/>
      <c r="D197" s="24"/>
      <c r="E197" s="58"/>
      <c r="F197" s="24"/>
      <c r="G197" s="24"/>
      <c r="H197" s="24"/>
      <c r="I197" s="61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58"/>
      <c r="F198" s="24"/>
      <c r="G198" s="24"/>
      <c r="H198" s="24"/>
      <c r="I198" s="61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24"/>
      <c r="B199" s="24"/>
      <c r="C199" s="24"/>
      <c r="D199" s="24"/>
      <c r="E199" s="58"/>
      <c r="F199" s="24"/>
      <c r="G199" s="24"/>
      <c r="H199" s="24"/>
      <c r="I199" s="61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4"/>
      <c r="B200" s="24"/>
      <c r="C200" s="24"/>
      <c r="D200" s="24"/>
      <c r="E200" s="58"/>
      <c r="F200" s="24"/>
      <c r="G200" s="24"/>
      <c r="H200" s="24"/>
      <c r="I200" s="61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24"/>
      <c r="B201" s="24"/>
      <c r="C201" s="24"/>
      <c r="D201" s="24"/>
      <c r="E201" s="58"/>
      <c r="F201" s="24"/>
      <c r="G201" s="24"/>
      <c r="H201" s="24"/>
      <c r="I201" s="61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4"/>
      <c r="B202" s="24"/>
      <c r="C202" s="24"/>
      <c r="D202" s="24"/>
      <c r="E202" s="58"/>
      <c r="F202" s="24"/>
      <c r="G202" s="24"/>
      <c r="H202" s="24"/>
      <c r="I202" s="61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24"/>
      <c r="B203" s="24"/>
      <c r="C203" s="24"/>
      <c r="D203" s="24"/>
      <c r="E203" s="58"/>
      <c r="F203" s="24"/>
      <c r="G203" s="24"/>
      <c r="H203" s="24"/>
      <c r="I203" s="61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24"/>
      <c r="B204" s="24"/>
      <c r="C204" s="24"/>
      <c r="D204" s="24"/>
      <c r="E204" s="58"/>
      <c r="F204" s="24"/>
      <c r="G204" s="24"/>
      <c r="H204" s="24"/>
      <c r="I204" s="61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4"/>
      <c r="B205" s="24"/>
      <c r="C205" s="24"/>
      <c r="D205" s="24"/>
      <c r="E205" s="58"/>
      <c r="F205" s="24"/>
      <c r="G205" s="24"/>
      <c r="H205" s="24"/>
      <c r="I205" s="61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24"/>
      <c r="B206" s="24"/>
      <c r="C206" s="24"/>
      <c r="D206" s="24"/>
      <c r="E206" s="58"/>
      <c r="F206" s="24"/>
      <c r="G206" s="24"/>
      <c r="H206" s="24"/>
      <c r="I206" s="61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4"/>
      <c r="B207" s="24"/>
      <c r="C207" s="24"/>
      <c r="D207" s="24"/>
      <c r="E207" s="58"/>
      <c r="F207" s="24"/>
      <c r="G207" s="24"/>
      <c r="H207" s="24"/>
      <c r="I207" s="61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24"/>
      <c r="B208" s="24"/>
      <c r="C208" s="24"/>
      <c r="D208" s="24"/>
      <c r="E208" s="58"/>
      <c r="F208" s="24"/>
      <c r="G208" s="24"/>
      <c r="H208" s="24"/>
      <c r="I208" s="61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4"/>
      <c r="B209" s="24"/>
      <c r="C209" s="24"/>
      <c r="D209" s="24"/>
      <c r="E209" s="58"/>
      <c r="F209" s="24"/>
      <c r="G209" s="24"/>
      <c r="H209" s="24"/>
      <c r="I209" s="61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24"/>
      <c r="B210" s="24"/>
      <c r="C210" s="24"/>
      <c r="D210" s="24"/>
      <c r="E210" s="58"/>
      <c r="F210" s="24"/>
      <c r="G210" s="24"/>
      <c r="H210" s="24"/>
      <c r="I210" s="61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24"/>
      <c r="B211" s="24"/>
      <c r="C211" s="24"/>
      <c r="D211" s="24"/>
      <c r="E211" s="58"/>
      <c r="F211" s="24"/>
      <c r="G211" s="24"/>
      <c r="H211" s="24"/>
      <c r="I211" s="61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24"/>
      <c r="B212" s="24"/>
      <c r="C212" s="24"/>
      <c r="D212" s="24"/>
      <c r="E212" s="58"/>
      <c r="F212" s="24"/>
      <c r="G212" s="24"/>
      <c r="H212" s="24"/>
      <c r="I212" s="61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4"/>
      <c r="B213" s="24"/>
      <c r="C213" s="24"/>
      <c r="D213" s="24"/>
      <c r="E213" s="58"/>
      <c r="F213" s="24"/>
      <c r="G213" s="24"/>
      <c r="H213" s="24"/>
      <c r="I213" s="61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24"/>
      <c r="B214" s="24"/>
      <c r="C214" s="24"/>
      <c r="D214" s="24"/>
      <c r="E214" s="58"/>
      <c r="F214" s="24"/>
      <c r="G214" s="24"/>
      <c r="H214" s="24"/>
      <c r="I214" s="61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4"/>
      <c r="B215" s="24"/>
      <c r="C215" s="24"/>
      <c r="D215" s="24"/>
      <c r="E215" s="58"/>
      <c r="F215" s="24"/>
      <c r="G215" s="24"/>
      <c r="H215" s="24"/>
      <c r="I215" s="61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24"/>
      <c r="B216" s="24"/>
      <c r="C216" s="24"/>
      <c r="D216" s="24"/>
      <c r="E216" s="58"/>
      <c r="F216" s="24"/>
      <c r="G216" s="24"/>
      <c r="H216" s="24"/>
      <c r="I216" s="61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24"/>
      <c r="B217" s="24"/>
      <c r="C217" s="24"/>
      <c r="D217" s="24"/>
      <c r="E217" s="58"/>
      <c r="F217" s="24"/>
      <c r="G217" s="24"/>
      <c r="H217" s="24"/>
      <c r="I217" s="61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24"/>
      <c r="B218" s="24"/>
      <c r="C218" s="24"/>
      <c r="D218" s="24"/>
      <c r="E218" s="58"/>
      <c r="F218" s="24"/>
      <c r="G218" s="24"/>
      <c r="H218" s="24"/>
      <c r="I218" s="61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58"/>
      <c r="F219" s="24"/>
      <c r="G219" s="24"/>
      <c r="H219" s="24"/>
      <c r="I219" s="61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>
      <c r="A220" s="24"/>
      <c r="B220" s="24"/>
      <c r="C220" s="24"/>
      <c r="D220" s="24"/>
      <c r="E220" s="58"/>
      <c r="F220" s="24"/>
      <c r="G220" s="24"/>
      <c r="H220" s="24"/>
      <c r="I220" s="61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58"/>
      <c r="F221" s="24"/>
      <c r="G221" s="24"/>
      <c r="H221" s="24"/>
      <c r="I221" s="61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4"/>
      <c r="B222" s="24"/>
      <c r="C222" s="24"/>
      <c r="D222" s="24"/>
      <c r="E222" s="58"/>
      <c r="F222" s="24"/>
      <c r="G222" s="24"/>
      <c r="H222" s="24"/>
      <c r="I222" s="61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A223" s="24"/>
      <c r="B223" s="24"/>
      <c r="C223" s="24"/>
      <c r="D223" s="24"/>
      <c r="E223" s="58"/>
      <c r="F223" s="24"/>
      <c r="G223" s="24"/>
      <c r="H223" s="24"/>
      <c r="I223" s="61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A224" s="24"/>
      <c r="B224" s="24"/>
      <c r="C224" s="24"/>
      <c r="D224" s="24"/>
      <c r="E224" s="58"/>
      <c r="F224" s="24"/>
      <c r="G224" s="24"/>
      <c r="H224" s="24"/>
      <c r="I224" s="61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58"/>
      <c r="F225" s="24"/>
      <c r="G225" s="24"/>
      <c r="H225" s="24"/>
      <c r="I225" s="61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58"/>
      <c r="F226" s="24"/>
      <c r="G226" s="24"/>
      <c r="H226" s="24"/>
      <c r="I226" s="61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58"/>
      <c r="F227" s="24"/>
      <c r="G227" s="24"/>
      <c r="H227" s="24"/>
      <c r="I227" s="61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58"/>
      <c r="F228" s="24"/>
      <c r="G228" s="24"/>
      <c r="H228" s="24"/>
      <c r="I228" s="61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58"/>
      <c r="F229" s="24"/>
      <c r="G229" s="24"/>
      <c r="H229" s="24"/>
      <c r="I229" s="61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58"/>
      <c r="F230" s="24"/>
      <c r="G230" s="24"/>
      <c r="H230" s="24"/>
      <c r="I230" s="61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58"/>
      <c r="F231" s="24"/>
      <c r="G231" s="24"/>
      <c r="H231" s="24"/>
      <c r="I231" s="61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58"/>
      <c r="F232" s="24"/>
      <c r="G232" s="24"/>
      <c r="H232" s="24"/>
      <c r="I232" s="61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58"/>
      <c r="F233" s="24"/>
      <c r="G233" s="24"/>
      <c r="H233" s="24"/>
      <c r="I233" s="61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58"/>
      <c r="F234" s="24"/>
      <c r="G234" s="24"/>
      <c r="H234" s="24"/>
      <c r="I234" s="61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58"/>
      <c r="F235" s="24"/>
      <c r="G235" s="24"/>
      <c r="H235" s="24"/>
      <c r="I235" s="61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58"/>
      <c r="F236" s="24"/>
      <c r="G236" s="24"/>
      <c r="H236" s="24"/>
      <c r="I236" s="61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58"/>
      <c r="F237" s="24"/>
      <c r="G237" s="24"/>
      <c r="H237" s="24"/>
      <c r="I237" s="61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58"/>
      <c r="F238" s="24"/>
      <c r="G238" s="24"/>
      <c r="H238" s="24"/>
      <c r="I238" s="61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58"/>
      <c r="F239" s="24"/>
      <c r="G239" s="24"/>
      <c r="H239" s="24"/>
      <c r="I239" s="61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58"/>
      <c r="F240" s="24"/>
      <c r="G240" s="24"/>
      <c r="H240" s="24"/>
      <c r="I240" s="61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58"/>
      <c r="F241" s="24"/>
      <c r="G241" s="24"/>
      <c r="H241" s="24"/>
      <c r="I241" s="61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58"/>
      <c r="F242" s="24"/>
      <c r="G242" s="24"/>
      <c r="H242" s="24"/>
      <c r="I242" s="61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58"/>
      <c r="F243" s="24"/>
      <c r="G243" s="24"/>
      <c r="H243" s="24"/>
      <c r="I243" s="61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58"/>
      <c r="F244" s="24"/>
      <c r="G244" s="24"/>
      <c r="H244" s="24"/>
      <c r="I244" s="61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58"/>
      <c r="F245" s="24"/>
      <c r="G245" s="24"/>
      <c r="H245" s="24"/>
      <c r="I245" s="61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58"/>
      <c r="F246" s="24"/>
      <c r="G246" s="24"/>
      <c r="H246" s="24"/>
      <c r="I246" s="61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58"/>
      <c r="F247" s="24"/>
      <c r="G247" s="24"/>
      <c r="H247" s="24"/>
      <c r="I247" s="61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58"/>
      <c r="F248" s="24"/>
      <c r="G248" s="24"/>
      <c r="H248" s="24"/>
      <c r="I248" s="61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58"/>
      <c r="F249" s="24"/>
      <c r="G249" s="24"/>
      <c r="H249" s="24"/>
      <c r="I249" s="61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58"/>
      <c r="F250" s="24"/>
      <c r="G250" s="24"/>
      <c r="H250" s="24"/>
      <c r="I250" s="61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58"/>
      <c r="F251" s="24"/>
      <c r="G251" s="24"/>
      <c r="H251" s="24"/>
      <c r="I251" s="61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58"/>
      <c r="F252" s="24"/>
      <c r="G252" s="24"/>
      <c r="H252" s="24"/>
      <c r="I252" s="61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58"/>
      <c r="F253" s="24"/>
      <c r="G253" s="24"/>
      <c r="H253" s="24"/>
      <c r="I253" s="61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58"/>
      <c r="F254" s="24"/>
      <c r="G254" s="24"/>
      <c r="H254" s="24"/>
      <c r="I254" s="61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58"/>
      <c r="F255" s="24"/>
      <c r="G255" s="24"/>
      <c r="H255" s="24"/>
      <c r="I255" s="61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58"/>
      <c r="F256" s="24"/>
      <c r="G256" s="24"/>
      <c r="H256" s="24"/>
      <c r="I256" s="61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58"/>
      <c r="F257" s="24"/>
      <c r="G257" s="24"/>
      <c r="H257" s="24"/>
      <c r="I257" s="61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58"/>
      <c r="F258" s="24"/>
      <c r="G258" s="24"/>
      <c r="H258" s="24"/>
      <c r="I258" s="61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58"/>
      <c r="F259" s="24"/>
      <c r="G259" s="24"/>
      <c r="H259" s="24"/>
      <c r="I259" s="61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58"/>
      <c r="F260" s="24"/>
      <c r="G260" s="24"/>
      <c r="H260" s="24"/>
      <c r="I260" s="61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58"/>
      <c r="F261" s="24"/>
      <c r="G261" s="24"/>
      <c r="H261" s="24"/>
      <c r="I261" s="61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58"/>
      <c r="F262" s="24"/>
      <c r="G262" s="24"/>
      <c r="H262" s="24"/>
      <c r="I262" s="61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58"/>
      <c r="F263" s="24"/>
      <c r="G263" s="24"/>
      <c r="H263" s="24"/>
      <c r="I263" s="61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58"/>
      <c r="F264" s="24"/>
      <c r="G264" s="24"/>
      <c r="H264" s="24"/>
      <c r="I264" s="61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58"/>
      <c r="F265" s="24"/>
      <c r="G265" s="24"/>
      <c r="H265" s="24"/>
      <c r="I265" s="61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58"/>
      <c r="F266" s="24"/>
      <c r="G266" s="24"/>
      <c r="H266" s="24"/>
      <c r="I266" s="61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58"/>
      <c r="F267" s="24"/>
      <c r="G267" s="24"/>
      <c r="H267" s="24"/>
      <c r="I267" s="61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58"/>
      <c r="F268" s="24"/>
      <c r="G268" s="24"/>
      <c r="H268" s="24"/>
      <c r="I268" s="61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58"/>
      <c r="F269" s="24"/>
      <c r="G269" s="24"/>
      <c r="H269" s="24"/>
      <c r="I269" s="61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58"/>
      <c r="F270" s="24"/>
      <c r="G270" s="24"/>
      <c r="H270" s="24"/>
      <c r="I270" s="61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58"/>
      <c r="F271" s="24"/>
      <c r="G271" s="24"/>
      <c r="H271" s="24"/>
      <c r="I271" s="61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58"/>
      <c r="F272" s="24"/>
      <c r="G272" s="24"/>
      <c r="H272" s="24"/>
      <c r="I272" s="61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58"/>
      <c r="F273" s="24"/>
      <c r="G273" s="24"/>
      <c r="H273" s="24"/>
      <c r="I273" s="61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58"/>
      <c r="F274" s="24"/>
      <c r="G274" s="24"/>
      <c r="H274" s="24"/>
      <c r="I274" s="61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58"/>
      <c r="F275" s="24"/>
      <c r="G275" s="24"/>
      <c r="H275" s="24"/>
      <c r="I275" s="61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58"/>
      <c r="F276" s="24"/>
      <c r="G276" s="24"/>
      <c r="H276" s="24"/>
      <c r="I276" s="61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58"/>
      <c r="F277" s="24"/>
      <c r="G277" s="24"/>
      <c r="H277" s="24"/>
      <c r="I277" s="61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58"/>
      <c r="F278" s="24"/>
      <c r="G278" s="24"/>
      <c r="H278" s="24"/>
      <c r="I278" s="61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58"/>
      <c r="F279" s="24"/>
      <c r="G279" s="24"/>
      <c r="H279" s="24"/>
      <c r="I279" s="61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58"/>
      <c r="F280" s="24"/>
      <c r="G280" s="24"/>
      <c r="H280" s="24"/>
      <c r="I280" s="61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58"/>
      <c r="F281" s="24"/>
      <c r="G281" s="24"/>
      <c r="H281" s="24"/>
      <c r="I281" s="61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58"/>
      <c r="F282" s="24"/>
      <c r="G282" s="24"/>
      <c r="H282" s="24"/>
      <c r="I282" s="61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58"/>
      <c r="F283" s="24"/>
      <c r="G283" s="24"/>
      <c r="H283" s="24"/>
      <c r="I283" s="61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58"/>
      <c r="F284" s="24"/>
      <c r="G284" s="24"/>
      <c r="H284" s="24"/>
      <c r="I284" s="61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58"/>
      <c r="F285" s="24"/>
      <c r="G285" s="24"/>
      <c r="H285" s="24"/>
      <c r="I285" s="61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58"/>
      <c r="F286" s="24"/>
      <c r="G286" s="24"/>
      <c r="H286" s="24"/>
      <c r="I286" s="61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58"/>
      <c r="F287" s="24"/>
      <c r="G287" s="24"/>
      <c r="H287" s="24"/>
      <c r="I287" s="61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58"/>
      <c r="F288" s="24"/>
      <c r="G288" s="24"/>
      <c r="H288" s="24"/>
      <c r="I288" s="61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58"/>
      <c r="F289" s="24"/>
      <c r="G289" s="24"/>
      <c r="H289" s="24"/>
      <c r="I289" s="61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58"/>
      <c r="F290" s="24"/>
      <c r="G290" s="24"/>
      <c r="H290" s="24"/>
      <c r="I290" s="61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58"/>
      <c r="F291" s="24"/>
      <c r="G291" s="24"/>
      <c r="H291" s="24"/>
      <c r="I291" s="61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58"/>
      <c r="F292" s="24"/>
      <c r="G292" s="24"/>
      <c r="H292" s="24"/>
      <c r="I292" s="61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58"/>
      <c r="F293" s="24"/>
      <c r="G293" s="24"/>
      <c r="H293" s="24"/>
      <c r="I293" s="61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58"/>
      <c r="F294" s="24"/>
      <c r="G294" s="24"/>
      <c r="H294" s="24"/>
      <c r="I294" s="61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58"/>
      <c r="F295" s="24"/>
      <c r="G295" s="24"/>
      <c r="H295" s="24"/>
      <c r="I295" s="61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58"/>
      <c r="F296" s="24"/>
      <c r="G296" s="24"/>
      <c r="H296" s="24"/>
      <c r="I296" s="61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58"/>
      <c r="F297" s="24"/>
      <c r="G297" s="24"/>
      <c r="H297" s="24"/>
      <c r="I297" s="61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58"/>
      <c r="F298" s="24"/>
      <c r="G298" s="24"/>
      <c r="H298" s="24"/>
      <c r="I298" s="61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58"/>
      <c r="F299" s="24"/>
      <c r="G299" s="24"/>
      <c r="H299" s="24"/>
      <c r="I299" s="61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58"/>
      <c r="F300" s="24"/>
      <c r="G300" s="24"/>
      <c r="H300" s="24"/>
      <c r="I300" s="61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58"/>
      <c r="F301" s="24"/>
      <c r="G301" s="24"/>
      <c r="H301" s="24"/>
      <c r="I301" s="61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58"/>
      <c r="F302" s="24"/>
      <c r="G302" s="24"/>
      <c r="H302" s="24"/>
      <c r="I302" s="61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58"/>
      <c r="F303" s="24"/>
      <c r="G303" s="24"/>
      <c r="H303" s="24"/>
      <c r="I303" s="61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58"/>
      <c r="F304" s="24"/>
      <c r="G304" s="24"/>
      <c r="H304" s="24"/>
      <c r="I304" s="61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58"/>
      <c r="F305" s="24"/>
      <c r="G305" s="24"/>
      <c r="H305" s="24"/>
      <c r="I305" s="61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58"/>
      <c r="F306" s="24"/>
      <c r="G306" s="24"/>
      <c r="H306" s="24"/>
      <c r="I306" s="61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58"/>
      <c r="F307" s="24"/>
      <c r="G307" s="24"/>
      <c r="H307" s="24"/>
      <c r="I307" s="61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58"/>
      <c r="F308" s="24"/>
      <c r="G308" s="24"/>
      <c r="H308" s="24"/>
      <c r="I308" s="61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58"/>
      <c r="F309" s="24"/>
      <c r="G309" s="24"/>
      <c r="H309" s="24"/>
      <c r="I309" s="61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58"/>
      <c r="F310" s="24"/>
      <c r="G310" s="24"/>
      <c r="H310" s="24"/>
      <c r="I310" s="61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58"/>
      <c r="F311" s="24"/>
      <c r="G311" s="24"/>
      <c r="H311" s="24"/>
      <c r="I311" s="61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58"/>
      <c r="F312" s="24"/>
      <c r="G312" s="24"/>
      <c r="H312" s="24"/>
      <c r="I312" s="61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58"/>
      <c r="F313" s="24"/>
      <c r="G313" s="24"/>
      <c r="H313" s="24"/>
      <c r="I313" s="61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58"/>
      <c r="F314" s="24"/>
      <c r="G314" s="24"/>
      <c r="H314" s="24"/>
      <c r="I314" s="61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58"/>
      <c r="F315" s="24"/>
      <c r="G315" s="24"/>
      <c r="H315" s="24"/>
      <c r="I315" s="61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58"/>
      <c r="F316" s="24"/>
      <c r="G316" s="24"/>
      <c r="H316" s="24"/>
      <c r="I316" s="61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58"/>
      <c r="F317" s="24"/>
      <c r="G317" s="24"/>
      <c r="H317" s="24"/>
      <c r="I317" s="61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58"/>
      <c r="F318" s="24"/>
      <c r="G318" s="24"/>
      <c r="H318" s="24"/>
      <c r="I318" s="61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58"/>
      <c r="F319" s="24"/>
      <c r="G319" s="24"/>
      <c r="H319" s="24"/>
      <c r="I319" s="61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58"/>
      <c r="F320" s="24"/>
      <c r="G320" s="24"/>
      <c r="H320" s="24"/>
      <c r="I320" s="61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58"/>
      <c r="F321" s="24"/>
      <c r="G321" s="24"/>
      <c r="H321" s="24"/>
      <c r="I321" s="61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58"/>
      <c r="F322" s="24"/>
      <c r="G322" s="24"/>
      <c r="H322" s="24"/>
      <c r="I322" s="61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58"/>
      <c r="F323" s="24"/>
      <c r="G323" s="24"/>
      <c r="H323" s="24"/>
      <c r="I323" s="61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58"/>
      <c r="F324" s="24"/>
      <c r="G324" s="24"/>
      <c r="H324" s="24"/>
      <c r="I324" s="61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58"/>
      <c r="F325" s="24"/>
      <c r="G325" s="24"/>
      <c r="H325" s="24"/>
      <c r="I325" s="61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58"/>
      <c r="F326" s="24"/>
      <c r="G326" s="24"/>
      <c r="H326" s="24"/>
      <c r="I326" s="61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58"/>
      <c r="F327" s="24"/>
      <c r="G327" s="24"/>
      <c r="H327" s="24"/>
      <c r="I327" s="61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58"/>
      <c r="F328" s="24"/>
      <c r="G328" s="24"/>
      <c r="H328" s="24"/>
      <c r="I328" s="61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58"/>
      <c r="F329" s="24"/>
      <c r="G329" s="24"/>
      <c r="H329" s="24"/>
      <c r="I329" s="61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58"/>
      <c r="F330" s="24"/>
      <c r="G330" s="24"/>
      <c r="H330" s="24"/>
      <c r="I330" s="61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58"/>
      <c r="F331" s="24"/>
      <c r="G331" s="24"/>
      <c r="H331" s="24"/>
      <c r="I331" s="61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58"/>
      <c r="F332" s="24"/>
      <c r="G332" s="24"/>
      <c r="H332" s="24"/>
      <c r="I332" s="61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58"/>
      <c r="F333" s="24"/>
      <c r="G333" s="24"/>
      <c r="H333" s="24"/>
      <c r="I333" s="61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58"/>
      <c r="F334" s="24"/>
      <c r="G334" s="24"/>
      <c r="H334" s="24"/>
      <c r="I334" s="61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58"/>
      <c r="F335" s="24"/>
      <c r="G335" s="24"/>
      <c r="H335" s="24"/>
      <c r="I335" s="61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58"/>
      <c r="F336" s="24"/>
      <c r="G336" s="24"/>
      <c r="H336" s="24"/>
      <c r="I336" s="61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58"/>
      <c r="F337" s="24"/>
      <c r="G337" s="24"/>
      <c r="H337" s="24"/>
      <c r="I337" s="61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58"/>
      <c r="F338" s="24"/>
      <c r="G338" s="24"/>
      <c r="H338" s="24"/>
      <c r="I338" s="61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58"/>
      <c r="F339" s="24"/>
      <c r="G339" s="24"/>
      <c r="H339" s="24"/>
      <c r="I339" s="61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58"/>
      <c r="F340" s="24"/>
      <c r="G340" s="24"/>
      <c r="H340" s="24"/>
      <c r="I340" s="61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58"/>
      <c r="F341" s="24"/>
      <c r="G341" s="24"/>
      <c r="H341" s="24"/>
      <c r="I341" s="61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58"/>
      <c r="F342" s="24"/>
      <c r="G342" s="24"/>
      <c r="H342" s="24"/>
      <c r="I342" s="61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58"/>
      <c r="F343" s="24"/>
      <c r="G343" s="24"/>
      <c r="H343" s="24"/>
      <c r="I343" s="61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58"/>
      <c r="F344" s="24"/>
      <c r="G344" s="24"/>
      <c r="H344" s="24"/>
      <c r="I344" s="61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58"/>
      <c r="F345" s="24"/>
      <c r="G345" s="24"/>
      <c r="H345" s="24"/>
      <c r="I345" s="61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58"/>
      <c r="F346" s="24"/>
      <c r="G346" s="24"/>
      <c r="H346" s="24"/>
      <c r="I346" s="61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58"/>
      <c r="F347" s="24"/>
      <c r="G347" s="24"/>
      <c r="H347" s="24"/>
      <c r="I347" s="61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58"/>
      <c r="F348" s="24"/>
      <c r="G348" s="24"/>
      <c r="H348" s="24"/>
      <c r="I348" s="61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58"/>
      <c r="F349" s="24"/>
      <c r="G349" s="24"/>
      <c r="H349" s="24"/>
      <c r="I349" s="61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58"/>
      <c r="F350" s="24"/>
      <c r="G350" s="24"/>
      <c r="H350" s="24"/>
      <c r="I350" s="61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58"/>
      <c r="F351" s="24"/>
      <c r="G351" s="24"/>
      <c r="H351" s="24"/>
      <c r="I351" s="61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58"/>
      <c r="F352" s="24"/>
      <c r="G352" s="24"/>
      <c r="H352" s="24"/>
      <c r="I352" s="61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58"/>
      <c r="F353" s="24"/>
      <c r="G353" s="24"/>
      <c r="H353" s="24"/>
      <c r="I353" s="61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58"/>
      <c r="F354" s="24"/>
      <c r="G354" s="24"/>
      <c r="H354" s="24"/>
      <c r="I354" s="61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58"/>
      <c r="F355" s="24"/>
      <c r="G355" s="24"/>
      <c r="H355" s="24"/>
      <c r="I355" s="61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58"/>
      <c r="F356" s="24"/>
      <c r="G356" s="24"/>
      <c r="H356" s="24"/>
      <c r="I356" s="61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58"/>
      <c r="F357" s="24"/>
      <c r="G357" s="24"/>
      <c r="H357" s="24"/>
      <c r="I357" s="61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58"/>
      <c r="F358" s="24"/>
      <c r="G358" s="24"/>
      <c r="H358" s="24"/>
      <c r="I358" s="61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58"/>
      <c r="F359" s="24"/>
      <c r="G359" s="24"/>
      <c r="H359" s="24"/>
      <c r="I359" s="61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58"/>
      <c r="F360" s="24"/>
      <c r="G360" s="24"/>
      <c r="H360" s="24"/>
      <c r="I360" s="61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58"/>
      <c r="F361" s="24"/>
      <c r="G361" s="24"/>
      <c r="H361" s="24"/>
      <c r="I361" s="61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58"/>
      <c r="F362" s="24"/>
      <c r="G362" s="24"/>
      <c r="H362" s="24"/>
      <c r="I362" s="61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58"/>
      <c r="F363" s="24"/>
      <c r="G363" s="24"/>
      <c r="H363" s="24"/>
      <c r="I363" s="61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58"/>
      <c r="F364" s="24"/>
      <c r="G364" s="24"/>
      <c r="H364" s="24"/>
      <c r="I364" s="61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58"/>
      <c r="F365" s="24"/>
      <c r="G365" s="24"/>
      <c r="H365" s="24"/>
      <c r="I365" s="61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58"/>
      <c r="F366" s="24"/>
      <c r="G366" s="24"/>
      <c r="H366" s="24"/>
      <c r="I366" s="61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58"/>
      <c r="F367" s="24"/>
      <c r="G367" s="24"/>
      <c r="H367" s="24"/>
      <c r="I367" s="61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58"/>
      <c r="F368" s="24"/>
      <c r="G368" s="24"/>
      <c r="H368" s="24"/>
      <c r="I368" s="61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58"/>
      <c r="F369" s="24"/>
      <c r="G369" s="24"/>
      <c r="H369" s="24"/>
      <c r="I369" s="61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58"/>
      <c r="F370" s="24"/>
      <c r="G370" s="24"/>
      <c r="H370" s="24"/>
      <c r="I370" s="61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58"/>
      <c r="F371" s="24"/>
      <c r="G371" s="24"/>
      <c r="H371" s="24"/>
      <c r="I371" s="61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58"/>
      <c r="F372" s="24"/>
      <c r="G372" s="24"/>
      <c r="H372" s="24"/>
      <c r="I372" s="61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58"/>
      <c r="F373" s="24"/>
      <c r="G373" s="24"/>
      <c r="H373" s="24"/>
      <c r="I373" s="61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58"/>
      <c r="F374" s="24"/>
      <c r="G374" s="24"/>
      <c r="H374" s="24"/>
      <c r="I374" s="61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58"/>
      <c r="F375" s="24"/>
      <c r="G375" s="24"/>
      <c r="H375" s="24"/>
      <c r="I375" s="61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58"/>
      <c r="F376" s="24"/>
      <c r="G376" s="24"/>
      <c r="H376" s="24"/>
      <c r="I376" s="61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58"/>
      <c r="F377" s="24"/>
      <c r="G377" s="24"/>
      <c r="H377" s="24"/>
      <c r="I377" s="61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58"/>
      <c r="F378" s="24"/>
      <c r="G378" s="24"/>
      <c r="H378" s="24"/>
      <c r="I378" s="61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58"/>
      <c r="F379" s="24"/>
      <c r="G379" s="24"/>
      <c r="H379" s="24"/>
      <c r="I379" s="61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58"/>
      <c r="F380" s="24"/>
      <c r="G380" s="24"/>
      <c r="H380" s="24"/>
      <c r="I380" s="61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58"/>
      <c r="F381" s="24"/>
      <c r="G381" s="24"/>
      <c r="H381" s="24"/>
      <c r="I381" s="61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58"/>
      <c r="F382" s="24"/>
      <c r="G382" s="24"/>
      <c r="H382" s="24"/>
      <c r="I382" s="61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58"/>
      <c r="F383" s="24"/>
      <c r="G383" s="24"/>
      <c r="H383" s="24"/>
      <c r="I383" s="61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58"/>
      <c r="F384" s="24"/>
      <c r="G384" s="24"/>
      <c r="H384" s="24"/>
      <c r="I384" s="61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58"/>
      <c r="F385" s="24"/>
      <c r="G385" s="24"/>
      <c r="H385" s="24"/>
      <c r="I385" s="61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58"/>
      <c r="F386" s="24"/>
      <c r="G386" s="24"/>
      <c r="H386" s="24"/>
      <c r="I386" s="61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58"/>
      <c r="F387" s="24"/>
      <c r="G387" s="24"/>
      <c r="H387" s="24"/>
      <c r="I387" s="61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58"/>
      <c r="F388" s="24"/>
      <c r="G388" s="24"/>
      <c r="H388" s="24"/>
      <c r="I388" s="61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58"/>
      <c r="F389" s="24"/>
      <c r="G389" s="24"/>
      <c r="H389" s="24"/>
      <c r="I389" s="61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58"/>
      <c r="F390" s="24"/>
      <c r="G390" s="24"/>
      <c r="H390" s="24"/>
      <c r="I390" s="61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58"/>
      <c r="F391" s="24"/>
      <c r="G391" s="24"/>
      <c r="H391" s="24"/>
      <c r="I391" s="61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58"/>
      <c r="F392" s="24"/>
      <c r="G392" s="24"/>
      <c r="H392" s="24"/>
      <c r="I392" s="61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58"/>
      <c r="F393" s="24"/>
      <c r="G393" s="24"/>
      <c r="H393" s="24"/>
      <c r="I393" s="61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58"/>
      <c r="F394" s="24"/>
      <c r="G394" s="24"/>
      <c r="H394" s="24"/>
      <c r="I394" s="61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58"/>
      <c r="F395" s="24"/>
      <c r="G395" s="24"/>
      <c r="H395" s="24"/>
      <c r="I395" s="61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58"/>
      <c r="F396" s="24"/>
      <c r="G396" s="24"/>
      <c r="H396" s="24"/>
      <c r="I396" s="61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58"/>
      <c r="F397" s="24"/>
      <c r="G397" s="24"/>
      <c r="H397" s="24"/>
      <c r="I397" s="61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58"/>
      <c r="F398" s="24"/>
      <c r="G398" s="24"/>
      <c r="H398" s="24"/>
      <c r="I398" s="61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58"/>
      <c r="F399" s="24"/>
      <c r="G399" s="24"/>
      <c r="H399" s="24"/>
      <c r="I399" s="61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58"/>
      <c r="F400" s="24"/>
      <c r="G400" s="24"/>
      <c r="H400" s="24"/>
      <c r="I400" s="61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58"/>
      <c r="F401" s="24"/>
      <c r="G401" s="24"/>
      <c r="H401" s="24"/>
      <c r="I401" s="61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58"/>
      <c r="F402" s="24"/>
      <c r="G402" s="24"/>
      <c r="H402" s="24"/>
      <c r="I402" s="61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58"/>
      <c r="F403" s="24"/>
      <c r="G403" s="24"/>
      <c r="H403" s="24"/>
      <c r="I403" s="61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58"/>
      <c r="F404" s="24"/>
      <c r="G404" s="24"/>
      <c r="H404" s="24"/>
      <c r="I404" s="61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58"/>
      <c r="F405" s="24"/>
      <c r="G405" s="24"/>
      <c r="H405" s="24"/>
      <c r="I405" s="61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58"/>
      <c r="F406" s="24"/>
      <c r="G406" s="24"/>
      <c r="H406" s="24"/>
      <c r="I406" s="61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58"/>
      <c r="F407" s="24"/>
      <c r="G407" s="24"/>
      <c r="H407" s="24"/>
      <c r="I407" s="61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58"/>
      <c r="F408" s="24"/>
      <c r="G408" s="24"/>
      <c r="H408" s="24"/>
      <c r="I408" s="61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58"/>
      <c r="F409" s="24"/>
      <c r="G409" s="24"/>
      <c r="H409" s="24"/>
      <c r="I409" s="61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58"/>
      <c r="F410" s="24"/>
      <c r="G410" s="24"/>
      <c r="H410" s="24"/>
      <c r="I410" s="61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58"/>
      <c r="F411" s="24"/>
      <c r="G411" s="24"/>
      <c r="H411" s="24"/>
      <c r="I411" s="61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58"/>
      <c r="F412" s="24"/>
      <c r="G412" s="24"/>
      <c r="H412" s="24"/>
      <c r="I412" s="61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58"/>
      <c r="F413" s="24"/>
      <c r="G413" s="24"/>
      <c r="H413" s="24"/>
      <c r="I413" s="61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58"/>
      <c r="F414" s="24"/>
      <c r="G414" s="24"/>
      <c r="H414" s="24"/>
      <c r="I414" s="61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58"/>
      <c r="F415" s="24"/>
      <c r="G415" s="24"/>
      <c r="H415" s="24"/>
      <c r="I415" s="61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58"/>
      <c r="F416" s="24"/>
      <c r="G416" s="24"/>
      <c r="H416" s="24"/>
      <c r="I416" s="61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58"/>
      <c r="F417" s="24"/>
      <c r="G417" s="24"/>
      <c r="H417" s="24"/>
      <c r="I417" s="61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58"/>
      <c r="F418" s="24"/>
      <c r="G418" s="24"/>
      <c r="H418" s="24"/>
      <c r="I418" s="61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58"/>
      <c r="F419" s="24"/>
      <c r="G419" s="24"/>
      <c r="H419" s="24"/>
      <c r="I419" s="61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58"/>
      <c r="F420" s="24"/>
      <c r="G420" s="24"/>
      <c r="H420" s="24"/>
      <c r="I420" s="61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58"/>
      <c r="F421" s="24"/>
      <c r="G421" s="24"/>
      <c r="H421" s="24"/>
      <c r="I421" s="61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58"/>
      <c r="F422" s="24"/>
      <c r="G422" s="24"/>
      <c r="H422" s="24"/>
      <c r="I422" s="61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58"/>
      <c r="F423" s="24"/>
      <c r="G423" s="24"/>
      <c r="H423" s="24"/>
      <c r="I423" s="61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58"/>
      <c r="F424" s="24"/>
      <c r="G424" s="24"/>
      <c r="H424" s="24"/>
      <c r="I424" s="61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58"/>
      <c r="F425" s="24"/>
      <c r="G425" s="24"/>
      <c r="H425" s="24"/>
      <c r="I425" s="61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58"/>
      <c r="F426" s="24"/>
      <c r="G426" s="24"/>
      <c r="H426" s="24"/>
      <c r="I426" s="61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58"/>
      <c r="F427" s="24"/>
      <c r="G427" s="24"/>
      <c r="H427" s="24"/>
      <c r="I427" s="61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58"/>
      <c r="F428" s="24"/>
      <c r="G428" s="24"/>
      <c r="H428" s="24"/>
      <c r="I428" s="61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58"/>
      <c r="F429" s="24"/>
      <c r="G429" s="24"/>
      <c r="H429" s="24"/>
      <c r="I429" s="61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58"/>
      <c r="F430" s="24"/>
      <c r="G430" s="24"/>
      <c r="H430" s="24"/>
      <c r="I430" s="61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58"/>
      <c r="F431" s="24"/>
      <c r="G431" s="24"/>
      <c r="H431" s="24"/>
      <c r="I431" s="61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58"/>
      <c r="F432" s="24"/>
      <c r="G432" s="24"/>
      <c r="H432" s="24"/>
      <c r="I432" s="61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58"/>
      <c r="F433" s="24"/>
      <c r="G433" s="24"/>
      <c r="H433" s="24"/>
      <c r="I433" s="61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58"/>
      <c r="F434" s="24"/>
      <c r="G434" s="24"/>
      <c r="H434" s="24"/>
      <c r="I434" s="61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58"/>
      <c r="F435" s="24"/>
      <c r="G435" s="24"/>
      <c r="H435" s="24"/>
      <c r="I435" s="61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58"/>
      <c r="F436" s="24"/>
      <c r="G436" s="24"/>
      <c r="H436" s="24"/>
      <c r="I436" s="61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58"/>
      <c r="F437" s="24"/>
      <c r="G437" s="24"/>
      <c r="H437" s="24"/>
      <c r="I437" s="61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58"/>
      <c r="F438" s="24"/>
      <c r="G438" s="24"/>
      <c r="H438" s="24"/>
      <c r="I438" s="61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58"/>
      <c r="F439" s="24"/>
      <c r="G439" s="24"/>
      <c r="H439" s="24"/>
      <c r="I439" s="61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58"/>
      <c r="F440" s="24"/>
      <c r="G440" s="24"/>
      <c r="H440" s="24"/>
      <c r="I440" s="61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58"/>
      <c r="F441" s="24"/>
      <c r="G441" s="24"/>
      <c r="H441" s="24"/>
      <c r="I441" s="61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58"/>
      <c r="F442" s="24"/>
      <c r="G442" s="24"/>
      <c r="H442" s="24"/>
      <c r="I442" s="61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58"/>
      <c r="F443" s="24"/>
      <c r="G443" s="24"/>
      <c r="H443" s="24"/>
      <c r="I443" s="61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58"/>
      <c r="F444" s="24"/>
      <c r="G444" s="24"/>
      <c r="H444" s="24"/>
      <c r="I444" s="61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58"/>
      <c r="F445" s="24"/>
      <c r="G445" s="24"/>
      <c r="H445" s="24"/>
      <c r="I445" s="61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58"/>
      <c r="F446" s="24"/>
      <c r="G446" s="24"/>
      <c r="H446" s="24"/>
      <c r="I446" s="61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58"/>
      <c r="F447" s="24"/>
      <c r="G447" s="24"/>
      <c r="H447" s="24"/>
      <c r="I447" s="61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58"/>
      <c r="F448" s="24"/>
      <c r="G448" s="24"/>
      <c r="H448" s="24"/>
      <c r="I448" s="61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58"/>
      <c r="F449" s="24"/>
      <c r="G449" s="24"/>
      <c r="H449" s="24"/>
      <c r="I449" s="61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58"/>
      <c r="F450" s="24"/>
      <c r="G450" s="24"/>
      <c r="H450" s="24"/>
      <c r="I450" s="61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58"/>
      <c r="F451" s="24"/>
      <c r="G451" s="24"/>
      <c r="H451" s="24"/>
      <c r="I451" s="61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58"/>
      <c r="F452" s="24"/>
      <c r="G452" s="24"/>
      <c r="H452" s="24"/>
      <c r="I452" s="61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58"/>
      <c r="F453" s="24"/>
      <c r="G453" s="24"/>
      <c r="H453" s="24"/>
      <c r="I453" s="61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58"/>
      <c r="F454" s="24"/>
      <c r="G454" s="24"/>
      <c r="H454" s="24"/>
      <c r="I454" s="61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58"/>
      <c r="F455" s="24"/>
      <c r="G455" s="24"/>
      <c r="H455" s="24"/>
      <c r="I455" s="61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58"/>
      <c r="F456" s="24"/>
      <c r="G456" s="24"/>
      <c r="H456" s="24"/>
      <c r="I456" s="61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58"/>
      <c r="F457" s="24"/>
      <c r="G457" s="24"/>
      <c r="H457" s="24"/>
      <c r="I457" s="61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58"/>
      <c r="F458" s="24"/>
      <c r="G458" s="24"/>
      <c r="H458" s="24"/>
      <c r="I458" s="61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58"/>
      <c r="F459" s="24"/>
      <c r="G459" s="24"/>
      <c r="H459" s="24"/>
      <c r="I459" s="61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58"/>
      <c r="F460" s="24"/>
      <c r="G460" s="24"/>
      <c r="H460" s="24"/>
      <c r="I460" s="61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58"/>
      <c r="F461" s="24"/>
      <c r="G461" s="24"/>
      <c r="H461" s="24"/>
      <c r="I461" s="61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58"/>
      <c r="F462" s="24"/>
      <c r="G462" s="24"/>
      <c r="H462" s="24"/>
      <c r="I462" s="61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58"/>
      <c r="F463" s="24"/>
      <c r="G463" s="24"/>
      <c r="H463" s="24"/>
      <c r="I463" s="61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58"/>
      <c r="F464" s="24"/>
      <c r="G464" s="24"/>
      <c r="H464" s="24"/>
      <c r="I464" s="61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58"/>
      <c r="F465" s="24"/>
      <c r="G465" s="24"/>
      <c r="H465" s="24"/>
      <c r="I465" s="61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58"/>
      <c r="F466" s="24"/>
      <c r="G466" s="24"/>
      <c r="H466" s="24"/>
      <c r="I466" s="61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58"/>
      <c r="F467" s="24"/>
      <c r="G467" s="24"/>
      <c r="H467" s="24"/>
      <c r="I467" s="61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58"/>
      <c r="F468" s="24"/>
      <c r="G468" s="24"/>
      <c r="H468" s="24"/>
      <c r="I468" s="61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58"/>
      <c r="F469" s="24"/>
      <c r="G469" s="24"/>
      <c r="H469" s="24"/>
      <c r="I469" s="61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58"/>
      <c r="F470" s="24"/>
      <c r="G470" s="24"/>
      <c r="H470" s="24"/>
      <c r="I470" s="61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58"/>
      <c r="F471" s="24"/>
      <c r="G471" s="24"/>
      <c r="H471" s="24"/>
      <c r="I471" s="61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58"/>
      <c r="F472" s="24"/>
      <c r="G472" s="24"/>
      <c r="H472" s="24"/>
      <c r="I472" s="61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58"/>
      <c r="F473" s="24"/>
      <c r="G473" s="24"/>
      <c r="H473" s="24"/>
      <c r="I473" s="61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58"/>
      <c r="F474" s="24"/>
      <c r="G474" s="24"/>
      <c r="H474" s="24"/>
      <c r="I474" s="61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58"/>
      <c r="F475" s="24"/>
      <c r="G475" s="24"/>
      <c r="H475" s="24"/>
      <c r="I475" s="61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58"/>
      <c r="F476" s="24"/>
      <c r="G476" s="24"/>
      <c r="H476" s="24"/>
      <c r="I476" s="61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58"/>
      <c r="F477" s="24"/>
      <c r="G477" s="24"/>
      <c r="H477" s="24"/>
      <c r="I477" s="61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58"/>
      <c r="F478" s="24"/>
      <c r="G478" s="24"/>
      <c r="H478" s="24"/>
      <c r="I478" s="61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58"/>
      <c r="F479" s="24"/>
      <c r="G479" s="24"/>
      <c r="H479" s="24"/>
      <c r="I479" s="61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58"/>
      <c r="F480" s="24"/>
      <c r="G480" s="24"/>
      <c r="H480" s="24"/>
      <c r="I480" s="61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58"/>
      <c r="F481" s="24"/>
      <c r="G481" s="24"/>
      <c r="H481" s="24"/>
      <c r="I481" s="61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58"/>
      <c r="F482" s="24"/>
      <c r="G482" s="24"/>
      <c r="H482" s="24"/>
      <c r="I482" s="61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58"/>
      <c r="F483" s="24"/>
      <c r="G483" s="24"/>
      <c r="H483" s="24"/>
      <c r="I483" s="61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58"/>
      <c r="F484" s="24"/>
      <c r="G484" s="24"/>
      <c r="H484" s="24"/>
      <c r="I484" s="61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58"/>
      <c r="F485" s="24"/>
      <c r="G485" s="24"/>
      <c r="H485" s="24"/>
      <c r="I485" s="61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58"/>
      <c r="F486" s="24"/>
      <c r="G486" s="24"/>
      <c r="H486" s="24"/>
      <c r="I486" s="61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58"/>
      <c r="F487" s="24"/>
      <c r="G487" s="24"/>
      <c r="H487" s="24"/>
      <c r="I487" s="61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58"/>
      <c r="F488" s="24"/>
      <c r="G488" s="24"/>
      <c r="H488" s="24"/>
      <c r="I488" s="61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58"/>
      <c r="F489" s="24"/>
      <c r="G489" s="24"/>
      <c r="H489" s="24"/>
      <c r="I489" s="61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58"/>
      <c r="F490" s="24"/>
      <c r="G490" s="24"/>
      <c r="H490" s="24"/>
      <c r="I490" s="61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58"/>
      <c r="F491" s="24"/>
      <c r="G491" s="24"/>
      <c r="H491" s="24"/>
      <c r="I491" s="61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58"/>
      <c r="F492" s="24"/>
      <c r="G492" s="24"/>
      <c r="H492" s="24"/>
      <c r="I492" s="61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58"/>
      <c r="F493" s="24"/>
      <c r="G493" s="24"/>
      <c r="H493" s="24"/>
      <c r="I493" s="61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58"/>
      <c r="F494" s="24"/>
      <c r="G494" s="24"/>
      <c r="H494" s="24"/>
      <c r="I494" s="61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58"/>
      <c r="F495" s="24"/>
      <c r="G495" s="24"/>
      <c r="H495" s="24"/>
      <c r="I495" s="61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58"/>
      <c r="F496" s="24"/>
      <c r="G496" s="24"/>
      <c r="H496" s="24"/>
      <c r="I496" s="61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58"/>
      <c r="F497" s="24"/>
      <c r="G497" s="24"/>
      <c r="H497" s="24"/>
      <c r="I497" s="61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58"/>
      <c r="F498" s="24"/>
      <c r="G498" s="24"/>
      <c r="H498" s="24"/>
      <c r="I498" s="61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58"/>
      <c r="F499" s="24"/>
      <c r="G499" s="24"/>
      <c r="H499" s="24"/>
      <c r="I499" s="61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58"/>
      <c r="F500" s="24"/>
      <c r="G500" s="24"/>
      <c r="H500" s="24"/>
      <c r="I500" s="61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58"/>
      <c r="F501" s="24"/>
      <c r="G501" s="24"/>
      <c r="H501" s="24"/>
      <c r="I501" s="61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58"/>
      <c r="F502" s="24"/>
      <c r="G502" s="24"/>
      <c r="H502" s="24"/>
      <c r="I502" s="61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58"/>
      <c r="F503" s="24"/>
      <c r="G503" s="24"/>
      <c r="H503" s="24"/>
      <c r="I503" s="61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58"/>
      <c r="F504" s="24"/>
      <c r="G504" s="24"/>
      <c r="H504" s="24"/>
      <c r="I504" s="61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58"/>
      <c r="F505" s="24"/>
      <c r="G505" s="24"/>
      <c r="H505" s="24"/>
      <c r="I505" s="61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58"/>
      <c r="F506" s="24"/>
      <c r="G506" s="24"/>
      <c r="H506" s="24"/>
      <c r="I506" s="61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58"/>
      <c r="F507" s="24"/>
      <c r="G507" s="24"/>
      <c r="H507" s="24"/>
      <c r="I507" s="61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58"/>
      <c r="F508" s="24"/>
      <c r="G508" s="24"/>
      <c r="H508" s="24"/>
      <c r="I508" s="61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58"/>
      <c r="F509" s="24"/>
      <c r="G509" s="24"/>
      <c r="H509" s="24"/>
      <c r="I509" s="61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58"/>
      <c r="F510" s="24"/>
      <c r="G510" s="24"/>
      <c r="H510" s="24"/>
      <c r="I510" s="61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58"/>
      <c r="F511" s="24"/>
      <c r="G511" s="24"/>
      <c r="H511" s="24"/>
      <c r="I511" s="61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58"/>
      <c r="F512" s="24"/>
      <c r="G512" s="24"/>
      <c r="H512" s="24"/>
      <c r="I512" s="61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58"/>
      <c r="F513" s="24"/>
      <c r="G513" s="24"/>
      <c r="H513" s="24"/>
      <c r="I513" s="61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58"/>
      <c r="F514" s="24"/>
      <c r="G514" s="24"/>
      <c r="H514" s="24"/>
      <c r="I514" s="61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58"/>
      <c r="F515" s="24"/>
      <c r="G515" s="24"/>
      <c r="H515" s="24"/>
      <c r="I515" s="61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58"/>
      <c r="F516" s="24"/>
      <c r="G516" s="24"/>
      <c r="H516" s="24"/>
      <c r="I516" s="61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58"/>
      <c r="F517" s="24"/>
      <c r="G517" s="24"/>
      <c r="H517" s="24"/>
      <c r="I517" s="61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58"/>
      <c r="F518" s="24"/>
      <c r="G518" s="24"/>
      <c r="H518" s="24"/>
      <c r="I518" s="61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58"/>
      <c r="F519" s="24"/>
      <c r="G519" s="24"/>
      <c r="H519" s="24"/>
      <c r="I519" s="61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58"/>
      <c r="F520" s="24"/>
      <c r="G520" s="24"/>
      <c r="H520" s="24"/>
      <c r="I520" s="61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58"/>
      <c r="F521" s="24"/>
      <c r="G521" s="24"/>
      <c r="H521" s="24"/>
      <c r="I521" s="61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58"/>
      <c r="F522" s="24"/>
      <c r="G522" s="24"/>
      <c r="H522" s="24"/>
      <c r="I522" s="61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58"/>
      <c r="F523" s="24"/>
      <c r="G523" s="24"/>
      <c r="H523" s="24"/>
      <c r="I523" s="61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58"/>
      <c r="F524" s="24"/>
      <c r="G524" s="24"/>
      <c r="H524" s="24"/>
      <c r="I524" s="61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58"/>
      <c r="F525" s="24"/>
      <c r="G525" s="24"/>
      <c r="H525" s="24"/>
      <c r="I525" s="61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58"/>
      <c r="F526" s="24"/>
      <c r="G526" s="24"/>
      <c r="H526" s="24"/>
      <c r="I526" s="61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58"/>
      <c r="F527" s="24"/>
      <c r="G527" s="24"/>
      <c r="H527" s="24"/>
      <c r="I527" s="61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58"/>
      <c r="F528" s="24"/>
      <c r="G528" s="24"/>
      <c r="H528" s="24"/>
      <c r="I528" s="61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58"/>
      <c r="F529" s="24"/>
      <c r="G529" s="24"/>
      <c r="H529" s="24"/>
      <c r="I529" s="61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58"/>
      <c r="F530" s="24"/>
      <c r="G530" s="24"/>
      <c r="H530" s="24"/>
      <c r="I530" s="61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58"/>
      <c r="F531" s="24"/>
      <c r="G531" s="24"/>
      <c r="H531" s="24"/>
      <c r="I531" s="61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58"/>
      <c r="F532" s="24"/>
      <c r="G532" s="24"/>
      <c r="H532" s="24"/>
      <c r="I532" s="61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58"/>
      <c r="F533" s="24"/>
      <c r="G533" s="24"/>
      <c r="H533" s="24"/>
      <c r="I533" s="61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58"/>
      <c r="F534" s="24"/>
      <c r="G534" s="24"/>
      <c r="H534" s="24"/>
      <c r="I534" s="61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58"/>
      <c r="F535" s="24"/>
      <c r="G535" s="24"/>
      <c r="H535" s="24"/>
      <c r="I535" s="61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58"/>
      <c r="F536" s="24"/>
      <c r="G536" s="24"/>
      <c r="H536" s="24"/>
      <c r="I536" s="61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58"/>
      <c r="F537" s="24"/>
      <c r="G537" s="24"/>
      <c r="H537" s="24"/>
      <c r="I537" s="61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58"/>
      <c r="F538" s="24"/>
      <c r="G538" s="24"/>
      <c r="H538" s="24"/>
      <c r="I538" s="61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58"/>
      <c r="F539" s="24"/>
      <c r="G539" s="24"/>
      <c r="H539" s="24"/>
      <c r="I539" s="61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58"/>
      <c r="F540" s="24"/>
      <c r="G540" s="24"/>
      <c r="H540" s="24"/>
      <c r="I540" s="61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58"/>
      <c r="F541" s="24"/>
      <c r="G541" s="24"/>
      <c r="H541" s="24"/>
      <c r="I541" s="61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58"/>
      <c r="F542" s="24"/>
      <c r="G542" s="24"/>
      <c r="H542" s="24"/>
      <c r="I542" s="61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58"/>
      <c r="F543" s="24"/>
      <c r="G543" s="24"/>
      <c r="H543" s="24"/>
      <c r="I543" s="61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58"/>
      <c r="F544" s="24"/>
      <c r="G544" s="24"/>
      <c r="H544" s="24"/>
      <c r="I544" s="61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58"/>
      <c r="F545" s="24"/>
      <c r="G545" s="24"/>
      <c r="H545" s="24"/>
      <c r="I545" s="61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58"/>
      <c r="F546" s="24"/>
      <c r="G546" s="24"/>
      <c r="H546" s="24"/>
      <c r="I546" s="61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58"/>
      <c r="F547" s="24"/>
      <c r="G547" s="24"/>
      <c r="H547" s="24"/>
      <c r="I547" s="61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58"/>
      <c r="F548" s="24"/>
      <c r="G548" s="24"/>
      <c r="H548" s="24"/>
      <c r="I548" s="61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58"/>
      <c r="F549" s="24"/>
      <c r="G549" s="24"/>
      <c r="H549" s="24"/>
      <c r="I549" s="61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58"/>
      <c r="F550" s="24"/>
      <c r="G550" s="24"/>
      <c r="H550" s="24"/>
      <c r="I550" s="61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58"/>
      <c r="F551" s="24"/>
      <c r="G551" s="24"/>
      <c r="H551" s="24"/>
      <c r="I551" s="61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58"/>
      <c r="F552" s="24"/>
      <c r="G552" s="24"/>
      <c r="H552" s="24"/>
      <c r="I552" s="61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58"/>
      <c r="F553" s="24"/>
      <c r="G553" s="24"/>
      <c r="H553" s="24"/>
      <c r="I553" s="61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58"/>
      <c r="F554" s="24"/>
      <c r="G554" s="24"/>
      <c r="H554" s="24"/>
      <c r="I554" s="61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58"/>
      <c r="F555" s="24"/>
      <c r="G555" s="24"/>
      <c r="H555" s="24"/>
      <c r="I555" s="61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58"/>
      <c r="F556" s="24"/>
      <c r="G556" s="24"/>
      <c r="H556" s="24"/>
      <c r="I556" s="61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58"/>
      <c r="F557" s="24"/>
      <c r="G557" s="24"/>
      <c r="H557" s="24"/>
      <c r="I557" s="61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58"/>
      <c r="F558" s="24"/>
      <c r="G558" s="24"/>
      <c r="H558" s="24"/>
      <c r="I558" s="61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58"/>
      <c r="F559" s="24"/>
      <c r="G559" s="24"/>
      <c r="H559" s="24"/>
      <c r="I559" s="61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58"/>
      <c r="F560" s="24"/>
      <c r="G560" s="24"/>
      <c r="H560" s="24"/>
      <c r="I560" s="61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58"/>
      <c r="F561" s="24"/>
      <c r="G561" s="24"/>
      <c r="H561" s="24"/>
      <c r="I561" s="61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58"/>
      <c r="F562" s="24"/>
      <c r="G562" s="24"/>
      <c r="H562" s="24"/>
      <c r="I562" s="61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58"/>
      <c r="F563" s="24"/>
      <c r="G563" s="24"/>
      <c r="H563" s="24"/>
      <c r="I563" s="61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58"/>
      <c r="F564" s="24"/>
      <c r="G564" s="24"/>
      <c r="H564" s="24"/>
      <c r="I564" s="61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58"/>
      <c r="F565" s="24"/>
      <c r="G565" s="24"/>
      <c r="H565" s="24"/>
      <c r="I565" s="61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58"/>
      <c r="F566" s="24"/>
      <c r="G566" s="24"/>
      <c r="H566" s="24"/>
      <c r="I566" s="61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58"/>
      <c r="F567" s="24"/>
      <c r="G567" s="24"/>
      <c r="H567" s="24"/>
      <c r="I567" s="61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58"/>
      <c r="F568" s="24"/>
      <c r="G568" s="24"/>
      <c r="H568" s="24"/>
      <c r="I568" s="61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58"/>
      <c r="F569" s="24"/>
      <c r="G569" s="24"/>
      <c r="H569" s="24"/>
      <c r="I569" s="61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58"/>
      <c r="F570" s="24"/>
      <c r="G570" s="24"/>
      <c r="H570" s="24"/>
      <c r="I570" s="61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58"/>
      <c r="F571" s="24"/>
      <c r="G571" s="24"/>
      <c r="H571" s="24"/>
      <c r="I571" s="61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58"/>
      <c r="F572" s="24"/>
      <c r="G572" s="24"/>
      <c r="H572" s="24"/>
      <c r="I572" s="61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58"/>
      <c r="F573" s="24"/>
      <c r="G573" s="24"/>
      <c r="H573" s="24"/>
      <c r="I573" s="61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58"/>
      <c r="F574" s="24"/>
      <c r="G574" s="24"/>
      <c r="H574" s="24"/>
      <c r="I574" s="61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58"/>
      <c r="F575" s="24"/>
      <c r="G575" s="24"/>
      <c r="H575" s="24"/>
      <c r="I575" s="61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58"/>
      <c r="F576" s="24"/>
      <c r="G576" s="24"/>
      <c r="H576" s="24"/>
      <c r="I576" s="61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58"/>
      <c r="F577" s="24"/>
      <c r="G577" s="24"/>
      <c r="H577" s="24"/>
      <c r="I577" s="61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58"/>
      <c r="F578" s="24"/>
      <c r="G578" s="24"/>
      <c r="H578" s="24"/>
      <c r="I578" s="61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58"/>
      <c r="F579" s="24"/>
      <c r="G579" s="24"/>
      <c r="H579" s="24"/>
      <c r="I579" s="61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58"/>
      <c r="F580" s="24"/>
      <c r="G580" s="24"/>
      <c r="H580" s="24"/>
      <c r="I580" s="61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58"/>
      <c r="F581" s="24"/>
      <c r="G581" s="24"/>
      <c r="H581" s="24"/>
      <c r="I581" s="61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58"/>
      <c r="F582" s="24"/>
      <c r="G582" s="24"/>
      <c r="H582" s="24"/>
      <c r="I582" s="61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58"/>
      <c r="F583" s="24"/>
      <c r="G583" s="24"/>
      <c r="H583" s="24"/>
      <c r="I583" s="61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58"/>
      <c r="F584" s="24"/>
      <c r="G584" s="24"/>
      <c r="H584" s="24"/>
      <c r="I584" s="61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58"/>
      <c r="F585" s="24"/>
      <c r="G585" s="24"/>
      <c r="H585" s="24"/>
      <c r="I585" s="61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58"/>
      <c r="F586" s="24"/>
      <c r="G586" s="24"/>
      <c r="H586" s="24"/>
      <c r="I586" s="61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58"/>
      <c r="F587" s="24"/>
      <c r="G587" s="24"/>
      <c r="H587" s="24"/>
      <c r="I587" s="61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58"/>
      <c r="F588" s="24"/>
      <c r="G588" s="24"/>
      <c r="H588" s="24"/>
      <c r="I588" s="61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58"/>
      <c r="F589" s="24"/>
      <c r="G589" s="24"/>
      <c r="H589" s="24"/>
      <c r="I589" s="61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58"/>
      <c r="F590" s="24"/>
      <c r="G590" s="24"/>
      <c r="H590" s="24"/>
      <c r="I590" s="61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58"/>
      <c r="F591" s="24"/>
      <c r="G591" s="24"/>
      <c r="H591" s="24"/>
      <c r="I591" s="61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58"/>
      <c r="F592" s="24"/>
      <c r="G592" s="24"/>
      <c r="H592" s="24"/>
      <c r="I592" s="61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58"/>
      <c r="F593" s="24"/>
      <c r="G593" s="24"/>
      <c r="H593" s="24"/>
      <c r="I593" s="61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58"/>
      <c r="F594" s="24"/>
      <c r="G594" s="24"/>
      <c r="H594" s="24"/>
      <c r="I594" s="61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58"/>
      <c r="F595" s="24"/>
      <c r="G595" s="24"/>
      <c r="H595" s="24"/>
      <c r="I595" s="61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58"/>
      <c r="F596" s="24"/>
      <c r="G596" s="24"/>
      <c r="H596" s="24"/>
      <c r="I596" s="61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58"/>
      <c r="F597" s="24"/>
      <c r="G597" s="24"/>
      <c r="H597" s="24"/>
      <c r="I597" s="61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58"/>
      <c r="F598" s="24"/>
      <c r="G598" s="24"/>
      <c r="H598" s="24"/>
      <c r="I598" s="61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58"/>
      <c r="F599" s="24"/>
      <c r="G599" s="24"/>
      <c r="H599" s="24"/>
      <c r="I599" s="61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58"/>
      <c r="F600" s="24"/>
      <c r="G600" s="24"/>
      <c r="H600" s="24"/>
      <c r="I600" s="61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58"/>
      <c r="F601" s="24"/>
      <c r="G601" s="24"/>
      <c r="H601" s="24"/>
      <c r="I601" s="61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58"/>
      <c r="F602" s="24"/>
      <c r="G602" s="24"/>
      <c r="H602" s="24"/>
      <c r="I602" s="61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58"/>
      <c r="F603" s="24"/>
      <c r="G603" s="24"/>
      <c r="H603" s="24"/>
      <c r="I603" s="61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58"/>
      <c r="F604" s="24"/>
      <c r="G604" s="24"/>
      <c r="H604" s="24"/>
      <c r="I604" s="61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58"/>
      <c r="F605" s="24"/>
      <c r="G605" s="24"/>
      <c r="H605" s="24"/>
      <c r="I605" s="61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58"/>
      <c r="F606" s="24"/>
      <c r="G606" s="24"/>
      <c r="H606" s="24"/>
      <c r="I606" s="61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58"/>
      <c r="F607" s="24"/>
      <c r="G607" s="24"/>
      <c r="H607" s="24"/>
      <c r="I607" s="61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58"/>
      <c r="F608" s="24"/>
      <c r="G608" s="24"/>
      <c r="H608" s="24"/>
      <c r="I608" s="61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58"/>
      <c r="F609" s="24"/>
      <c r="G609" s="24"/>
      <c r="H609" s="24"/>
      <c r="I609" s="61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58"/>
      <c r="F610" s="24"/>
      <c r="G610" s="24"/>
      <c r="H610" s="24"/>
      <c r="I610" s="61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58"/>
      <c r="F611" s="24"/>
      <c r="G611" s="24"/>
      <c r="H611" s="24"/>
      <c r="I611" s="61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58"/>
      <c r="F612" s="24"/>
      <c r="G612" s="24"/>
      <c r="H612" s="24"/>
      <c r="I612" s="61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58"/>
      <c r="F613" s="24"/>
      <c r="G613" s="24"/>
      <c r="H613" s="24"/>
      <c r="I613" s="61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58"/>
      <c r="F614" s="24"/>
      <c r="G614" s="24"/>
      <c r="H614" s="24"/>
      <c r="I614" s="61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58"/>
      <c r="F615" s="24"/>
      <c r="G615" s="24"/>
      <c r="H615" s="24"/>
      <c r="I615" s="61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58"/>
      <c r="F616" s="24"/>
      <c r="G616" s="24"/>
      <c r="H616" s="24"/>
      <c r="I616" s="61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58"/>
      <c r="F617" s="24"/>
      <c r="G617" s="24"/>
      <c r="H617" s="24"/>
      <c r="I617" s="61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58"/>
      <c r="F618" s="24"/>
      <c r="G618" s="24"/>
      <c r="H618" s="24"/>
      <c r="I618" s="61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58"/>
      <c r="F619" s="24"/>
      <c r="G619" s="24"/>
      <c r="H619" s="24"/>
      <c r="I619" s="61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58"/>
      <c r="F620" s="24"/>
      <c r="G620" s="24"/>
      <c r="H620" s="24"/>
      <c r="I620" s="61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58"/>
      <c r="F621" s="24"/>
      <c r="G621" s="24"/>
      <c r="H621" s="24"/>
      <c r="I621" s="61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58"/>
      <c r="F622" s="24"/>
      <c r="G622" s="24"/>
      <c r="H622" s="24"/>
      <c r="I622" s="61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58"/>
      <c r="F623" s="24"/>
      <c r="G623" s="24"/>
      <c r="H623" s="24"/>
      <c r="I623" s="61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58"/>
      <c r="F624" s="24"/>
      <c r="G624" s="24"/>
      <c r="H624" s="24"/>
      <c r="I624" s="61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58"/>
      <c r="F625" s="24"/>
      <c r="G625" s="24"/>
      <c r="H625" s="24"/>
      <c r="I625" s="61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58"/>
      <c r="F626" s="24"/>
      <c r="G626" s="24"/>
      <c r="H626" s="24"/>
      <c r="I626" s="61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58"/>
      <c r="F627" s="24"/>
      <c r="G627" s="24"/>
      <c r="H627" s="24"/>
      <c r="I627" s="61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58"/>
      <c r="F628" s="24"/>
      <c r="G628" s="24"/>
      <c r="H628" s="24"/>
      <c r="I628" s="61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58"/>
      <c r="F629" s="24"/>
      <c r="G629" s="24"/>
      <c r="H629" s="24"/>
      <c r="I629" s="61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58"/>
      <c r="F630" s="24"/>
      <c r="G630" s="24"/>
      <c r="H630" s="24"/>
      <c r="I630" s="61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58"/>
      <c r="F631" s="24"/>
      <c r="G631" s="24"/>
      <c r="H631" s="24"/>
      <c r="I631" s="61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58"/>
      <c r="F632" s="24"/>
      <c r="G632" s="24"/>
      <c r="H632" s="24"/>
      <c r="I632" s="61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58"/>
      <c r="F633" s="24"/>
      <c r="G633" s="24"/>
      <c r="H633" s="24"/>
      <c r="I633" s="61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58"/>
      <c r="F634" s="24"/>
      <c r="G634" s="24"/>
      <c r="H634" s="24"/>
      <c r="I634" s="61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58"/>
      <c r="F635" s="24"/>
      <c r="G635" s="24"/>
      <c r="H635" s="24"/>
      <c r="I635" s="61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58"/>
      <c r="F636" s="24"/>
      <c r="G636" s="24"/>
      <c r="H636" s="24"/>
      <c r="I636" s="61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58"/>
      <c r="F637" s="24"/>
      <c r="G637" s="24"/>
      <c r="H637" s="24"/>
      <c r="I637" s="61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58"/>
      <c r="F638" s="24"/>
      <c r="G638" s="24"/>
      <c r="H638" s="24"/>
      <c r="I638" s="61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58"/>
      <c r="F639" s="24"/>
      <c r="G639" s="24"/>
      <c r="H639" s="24"/>
      <c r="I639" s="61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58"/>
      <c r="F640" s="24"/>
      <c r="G640" s="24"/>
      <c r="H640" s="24"/>
      <c r="I640" s="61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58"/>
      <c r="F641" s="24"/>
      <c r="G641" s="24"/>
      <c r="H641" s="24"/>
      <c r="I641" s="61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58"/>
      <c r="F642" s="24"/>
      <c r="G642" s="24"/>
      <c r="H642" s="24"/>
      <c r="I642" s="61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58"/>
      <c r="F643" s="24"/>
      <c r="G643" s="24"/>
      <c r="H643" s="24"/>
      <c r="I643" s="61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58"/>
      <c r="F644" s="24"/>
      <c r="G644" s="24"/>
      <c r="H644" s="24"/>
      <c r="I644" s="61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58"/>
      <c r="F645" s="24"/>
      <c r="G645" s="24"/>
      <c r="H645" s="24"/>
      <c r="I645" s="61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58"/>
      <c r="F646" s="24"/>
      <c r="G646" s="24"/>
      <c r="H646" s="24"/>
      <c r="I646" s="61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58"/>
      <c r="F647" s="24"/>
      <c r="G647" s="24"/>
      <c r="H647" s="24"/>
      <c r="I647" s="61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58"/>
      <c r="F648" s="24"/>
      <c r="G648" s="24"/>
      <c r="H648" s="24"/>
      <c r="I648" s="61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58"/>
      <c r="F649" s="24"/>
      <c r="G649" s="24"/>
      <c r="H649" s="24"/>
      <c r="I649" s="61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58"/>
      <c r="F650" s="24"/>
      <c r="G650" s="24"/>
      <c r="H650" s="24"/>
      <c r="I650" s="61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58"/>
      <c r="F651" s="24"/>
      <c r="G651" s="24"/>
      <c r="H651" s="24"/>
      <c r="I651" s="61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58"/>
      <c r="F652" s="24"/>
      <c r="G652" s="24"/>
      <c r="H652" s="24"/>
      <c r="I652" s="61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58"/>
      <c r="F653" s="24"/>
      <c r="G653" s="24"/>
      <c r="H653" s="24"/>
      <c r="I653" s="61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58"/>
      <c r="F654" s="24"/>
      <c r="G654" s="24"/>
      <c r="H654" s="24"/>
      <c r="I654" s="61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58"/>
      <c r="F655" s="24"/>
      <c r="G655" s="24"/>
      <c r="H655" s="24"/>
      <c r="I655" s="61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58"/>
      <c r="F656" s="24"/>
      <c r="G656" s="24"/>
      <c r="H656" s="24"/>
      <c r="I656" s="61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58"/>
      <c r="F657" s="24"/>
      <c r="G657" s="24"/>
      <c r="H657" s="24"/>
      <c r="I657" s="61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58"/>
      <c r="F658" s="24"/>
      <c r="G658" s="24"/>
      <c r="H658" s="24"/>
      <c r="I658" s="61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58"/>
      <c r="F659" s="24"/>
      <c r="G659" s="24"/>
      <c r="H659" s="24"/>
      <c r="I659" s="61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58"/>
      <c r="F660" s="24"/>
      <c r="G660" s="24"/>
      <c r="H660" s="24"/>
      <c r="I660" s="61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58"/>
      <c r="F661" s="24"/>
      <c r="G661" s="24"/>
      <c r="H661" s="24"/>
      <c r="I661" s="61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58"/>
      <c r="F662" s="24"/>
      <c r="G662" s="24"/>
      <c r="H662" s="24"/>
      <c r="I662" s="61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58"/>
      <c r="F663" s="24"/>
      <c r="G663" s="24"/>
      <c r="H663" s="24"/>
      <c r="I663" s="61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58"/>
      <c r="F664" s="24"/>
      <c r="G664" s="24"/>
      <c r="H664" s="24"/>
      <c r="I664" s="61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58"/>
      <c r="F665" s="24"/>
      <c r="G665" s="24"/>
      <c r="H665" s="24"/>
      <c r="I665" s="61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58"/>
      <c r="F666" s="24"/>
      <c r="G666" s="24"/>
      <c r="H666" s="24"/>
      <c r="I666" s="61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58"/>
      <c r="F667" s="24"/>
      <c r="G667" s="24"/>
      <c r="H667" s="24"/>
      <c r="I667" s="61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58"/>
      <c r="F668" s="24"/>
      <c r="G668" s="24"/>
      <c r="H668" s="24"/>
      <c r="I668" s="61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58"/>
      <c r="F669" s="24"/>
      <c r="G669" s="24"/>
      <c r="H669" s="24"/>
      <c r="I669" s="61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58"/>
      <c r="F670" s="24"/>
      <c r="G670" s="24"/>
      <c r="H670" s="24"/>
      <c r="I670" s="61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58"/>
      <c r="F671" s="24"/>
      <c r="G671" s="24"/>
      <c r="H671" s="24"/>
      <c r="I671" s="61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58"/>
      <c r="F672" s="24"/>
      <c r="G672" s="24"/>
      <c r="H672" s="24"/>
      <c r="I672" s="61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58"/>
      <c r="F673" s="24"/>
      <c r="G673" s="24"/>
      <c r="H673" s="24"/>
      <c r="I673" s="61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58"/>
      <c r="F674" s="24"/>
      <c r="G674" s="24"/>
      <c r="H674" s="24"/>
      <c r="I674" s="61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58"/>
      <c r="F675" s="24"/>
      <c r="G675" s="24"/>
      <c r="H675" s="24"/>
      <c r="I675" s="61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58"/>
      <c r="F676" s="24"/>
      <c r="G676" s="24"/>
      <c r="H676" s="24"/>
      <c r="I676" s="61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58"/>
      <c r="F677" s="24"/>
      <c r="G677" s="24"/>
      <c r="H677" s="24"/>
      <c r="I677" s="61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58"/>
      <c r="F678" s="24"/>
      <c r="G678" s="24"/>
      <c r="H678" s="24"/>
      <c r="I678" s="61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58"/>
      <c r="F679" s="24"/>
      <c r="G679" s="24"/>
      <c r="H679" s="24"/>
      <c r="I679" s="61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58"/>
      <c r="F680" s="24"/>
      <c r="G680" s="24"/>
      <c r="H680" s="24"/>
      <c r="I680" s="61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58"/>
      <c r="F681" s="24"/>
      <c r="G681" s="24"/>
      <c r="H681" s="24"/>
      <c r="I681" s="61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58"/>
      <c r="F682" s="24"/>
      <c r="G682" s="24"/>
      <c r="H682" s="24"/>
      <c r="I682" s="61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58"/>
      <c r="F683" s="24"/>
      <c r="G683" s="24"/>
      <c r="H683" s="24"/>
      <c r="I683" s="61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58"/>
      <c r="F684" s="24"/>
      <c r="G684" s="24"/>
      <c r="H684" s="24"/>
      <c r="I684" s="61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58"/>
      <c r="F685" s="24"/>
      <c r="G685" s="24"/>
      <c r="H685" s="24"/>
      <c r="I685" s="61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58"/>
      <c r="F686" s="24"/>
      <c r="G686" s="24"/>
      <c r="H686" s="24"/>
      <c r="I686" s="61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58"/>
      <c r="F687" s="24"/>
      <c r="G687" s="24"/>
      <c r="H687" s="24"/>
      <c r="I687" s="61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58"/>
      <c r="F688" s="24"/>
      <c r="G688" s="24"/>
      <c r="H688" s="24"/>
      <c r="I688" s="61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58"/>
      <c r="F689" s="24"/>
      <c r="G689" s="24"/>
      <c r="H689" s="24"/>
      <c r="I689" s="61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58"/>
      <c r="F690" s="24"/>
      <c r="G690" s="24"/>
      <c r="H690" s="24"/>
      <c r="I690" s="61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58"/>
      <c r="F691" s="24"/>
      <c r="G691" s="24"/>
      <c r="H691" s="24"/>
      <c r="I691" s="61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58"/>
      <c r="F692" s="24"/>
      <c r="G692" s="24"/>
      <c r="H692" s="24"/>
      <c r="I692" s="61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58"/>
      <c r="F693" s="24"/>
      <c r="G693" s="24"/>
      <c r="H693" s="24"/>
      <c r="I693" s="61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58"/>
      <c r="F694" s="24"/>
      <c r="G694" s="24"/>
      <c r="H694" s="24"/>
      <c r="I694" s="61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58"/>
      <c r="F695" s="24"/>
      <c r="G695" s="24"/>
      <c r="H695" s="24"/>
      <c r="I695" s="61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58"/>
      <c r="F696" s="24"/>
      <c r="G696" s="24"/>
      <c r="H696" s="24"/>
      <c r="I696" s="61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58"/>
      <c r="F697" s="24"/>
      <c r="G697" s="24"/>
      <c r="H697" s="24"/>
      <c r="I697" s="61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58"/>
      <c r="F698" s="24"/>
      <c r="G698" s="24"/>
      <c r="H698" s="24"/>
      <c r="I698" s="61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58"/>
      <c r="F699" s="24"/>
      <c r="G699" s="24"/>
      <c r="H699" s="24"/>
      <c r="I699" s="61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58"/>
      <c r="F700" s="24"/>
      <c r="G700" s="24"/>
      <c r="H700" s="24"/>
      <c r="I700" s="61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58"/>
      <c r="F701" s="24"/>
      <c r="G701" s="24"/>
      <c r="H701" s="24"/>
      <c r="I701" s="61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58"/>
      <c r="F702" s="24"/>
      <c r="G702" s="24"/>
      <c r="H702" s="24"/>
      <c r="I702" s="61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58"/>
      <c r="F703" s="24"/>
      <c r="G703" s="24"/>
      <c r="H703" s="24"/>
      <c r="I703" s="61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58"/>
      <c r="F704" s="24"/>
      <c r="G704" s="24"/>
      <c r="H704" s="24"/>
      <c r="I704" s="61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58"/>
      <c r="F705" s="24"/>
      <c r="G705" s="24"/>
      <c r="H705" s="24"/>
      <c r="I705" s="61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58"/>
      <c r="F706" s="24"/>
      <c r="G706" s="24"/>
      <c r="H706" s="24"/>
      <c r="I706" s="61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58"/>
      <c r="F707" s="24"/>
      <c r="G707" s="24"/>
      <c r="H707" s="24"/>
      <c r="I707" s="61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58"/>
      <c r="F708" s="24"/>
      <c r="G708" s="24"/>
      <c r="H708" s="24"/>
      <c r="I708" s="61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58"/>
      <c r="F709" s="24"/>
      <c r="G709" s="24"/>
      <c r="H709" s="24"/>
      <c r="I709" s="61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58"/>
      <c r="F710" s="24"/>
      <c r="G710" s="24"/>
      <c r="H710" s="24"/>
      <c r="I710" s="61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58"/>
      <c r="F711" s="24"/>
      <c r="G711" s="24"/>
      <c r="H711" s="24"/>
      <c r="I711" s="61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58"/>
      <c r="F712" s="24"/>
      <c r="G712" s="24"/>
      <c r="H712" s="24"/>
      <c r="I712" s="61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58"/>
      <c r="F713" s="24"/>
      <c r="G713" s="24"/>
      <c r="H713" s="24"/>
      <c r="I713" s="61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58"/>
      <c r="F714" s="24"/>
      <c r="G714" s="24"/>
      <c r="H714" s="24"/>
      <c r="I714" s="61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58"/>
      <c r="F715" s="24"/>
      <c r="G715" s="24"/>
      <c r="H715" s="24"/>
      <c r="I715" s="61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58"/>
      <c r="F716" s="24"/>
      <c r="G716" s="24"/>
      <c r="H716" s="24"/>
      <c r="I716" s="61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58"/>
      <c r="F717" s="24"/>
      <c r="G717" s="24"/>
      <c r="H717" s="24"/>
      <c r="I717" s="61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58"/>
      <c r="F718" s="24"/>
      <c r="G718" s="24"/>
      <c r="H718" s="24"/>
      <c r="I718" s="61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58"/>
      <c r="F719" s="24"/>
      <c r="G719" s="24"/>
      <c r="H719" s="24"/>
      <c r="I719" s="61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58"/>
      <c r="F720" s="24"/>
      <c r="G720" s="24"/>
      <c r="H720" s="24"/>
      <c r="I720" s="61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58"/>
      <c r="F721" s="24"/>
      <c r="G721" s="24"/>
      <c r="H721" s="24"/>
      <c r="I721" s="61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58"/>
      <c r="F722" s="24"/>
      <c r="G722" s="24"/>
      <c r="H722" s="24"/>
      <c r="I722" s="61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58"/>
      <c r="F723" s="24"/>
      <c r="G723" s="24"/>
      <c r="H723" s="24"/>
      <c r="I723" s="61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58"/>
      <c r="F724" s="24"/>
      <c r="G724" s="24"/>
      <c r="H724" s="24"/>
      <c r="I724" s="61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58"/>
      <c r="F725" s="24"/>
      <c r="G725" s="24"/>
      <c r="H725" s="24"/>
      <c r="I725" s="61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58"/>
      <c r="F726" s="24"/>
      <c r="G726" s="24"/>
      <c r="H726" s="24"/>
      <c r="I726" s="61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58"/>
      <c r="F727" s="24"/>
      <c r="G727" s="24"/>
      <c r="H727" s="24"/>
      <c r="I727" s="61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58"/>
      <c r="F728" s="24"/>
      <c r="G728" s="24"/>
      <c r="H728" s="24"/>
      <c r="I728" s="61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58"/>
      <c r="F729" s="24"/>
      <c r="G729" s="24"/>
      <c r="H729" s="24"/>
      <c r="I729" s="61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58"/>
      <c r="F730" s="24"/>
      <c r="G730" s="24"/>
      <c r="H730" s="24"/>
      <c r="I730" s="61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58"/>
      <c r="F731" s="24"/>
      <c r="G731" s="24"/>
      <c r="H731" s="24"/>
      <c r="I731" s="61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58"/>
      <c r="F732" s="24"/>
      <c r="G732" s="24"/>
      <c r="H732" s="24"/>
      <c r="I732" s="61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58"/>
      <c r="F733" s="24"/>
      <c r="G733" s="24"/>
      <c r="H733" s="24"/>
      <c r="I733" s="61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58"/>
      <c r="F734" s="24"/>
      <c r="G734" s="24"/>
      <c r="H734" s="24"/>
      <c r="I734" s="61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58"/>
      <c r="F735" s="24"/>
      <c r="G735" s="24"/>
      <c r="H735" s="24"/>
      <c r="I735" s="61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58"/>
      <c r="F736" s="24"/>
      <c r="G736" s="24"/>
      <c r="H736" s="24"/>
      <c r="I736" s="61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58"/>
      <c r="F737" s="24"/>
      <c r="G737" s="24"/>
      <c r="H737" s="24"/>
      <c r="I737" s="61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58"/>
      <c r="F738" s="24"/>
      <c r="G738" s="24"/>
      <c r="H738" s="24"/>
      <c r="I738" s="61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58"/>
      <c r="F739" s="24"/>
      <c r="G739" s="24"/>
      <c r="H739" s="24"/>
      <c r="I739" s="61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58"/>
      <c r="F740" s="24"/>
      <c r="G740" s="24"/>
      <c r="H740" s="24"/>
      <c r="I740" s="61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58"/>
      <c r="F741" s="24"/>
      <c r="G741" s="24"/>
      <c r="H741" s="24"/>
      <c r="I741" s="61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58"/>
      <c r="F742" s="24"/>
      <c r="G742" s="24"/>
      <c r="H742" s="24"/>
      <c r="I742" s="61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58"/>
      <c r="F743" s="24"/>
      <c r="G743" s="24"/>
      <c r="H743" s="24"/>
      <c r="I743" s="61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58"/>
      <c r="F744" s="24"/>
      <c r="G744" s="24"/>
      <c r="H744" s="24"/>
      <c r="I744" s="61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58"/>
      <c r="F745" s="24"/>
      <c r="G745" s="24"/>
      <c r="H745" s="24"/>
      <c r="I745" s="61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58"/>
      <c r="F746" s="24"/>
      <c r="G746" s="24"/>
      <c r="H746" s="24"/>
      <c r="I746" s="61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58"/>
      <c r="F747" s="24"/>
      <c r="G747" s="24"/>
      <c r="H747" s="24"/>
      <c r="I747" s="61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58"/>
      <c r="F748" s="24"/>
      <c r="G748" s="24"/>
      <c r="H748" s="24"/>
      <c r="I748" s="61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58"/>
      <c r="F749" s="24"/>
      <c r="G749" s="24"/>
      <c r="H749" s="24"/>
      <c r="I749" s="61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58"/>
      <c r="F750" s="24"/>
      <c r="G750" s="24"/>
      <c r="H750" s="24"/>
      <c r="I750" s="61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58"/>
      <c r="F751" s="24"/>
      <c r="G751" s="24"/>
      <c r="H751" s="24"/>
      <c r="I751" s="61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58"/>
      <c r="F752" s="24"/>
      <c r="G752" s="24"/>
      <c r="H752" s="24"/>
      <c r="I752" s="61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58"/>
      <c r="F753" s="24"/>
      <c r="G753" s="24"/>
      <c r="H753" s="24"/>
      <c r="I753" s="61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58"/>
      <c r="F754" s="24"/>
      <c r="G754" s="24"/>
      <c r="H754" s="24"/>
      <c r="I754" s="61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58"/>
      <c r="F755" s="24"/>
      <c r="G755" s="24"/>
      <c r="H755" s="24"/>
      <c r="I755" s="61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58"/>
      <c r="F756" s="24"/>
      <c r="G756" s="24"/>
      <c r="H756" s="24"/>
      <c r="I756" s="61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58"/>
      <c r="F757" s="24"/>
      <c r="G757" s="24"/>
      <c r="H757" s="24"/>
      <c r="I757" s="61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58"/>
      <c r="F758" s="24"/>
      <c r="G758" s="24"/>
      <c r="H758" s="24"/>
      <c r="I758" s="61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58"/>
      <c r="F759" s="24"/>
      <c r="G759" s="24"/>
      <c r="H759" s="24"/>
      <c r="I759" s="61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58"/>
      <c r="F760" s="24"/>
      <c r="G760" s="24"/>
      <c r="H760" s="24"/>
      <c r="I760" s="61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58"/>
      <c r="F761" s="24"/>
      <c r="G761" s="24"/>
      <c r="H761" s="24"/>
      <c r="I761" s="61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58"/>
      <c r="F762" s="24"/>
      <c r="G762" s="24"/>
      <c r="H762" s="24"/>
      <c r="I762" s="61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58"/>
      <c r="F763" s="24"/>
      <c r="G763" s="24"/>
      <c r="H763" s="24"/>
      <c r="I763" s="61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58"/>
      <c r="F764" s="24"/>
      <c r="G764" s="24"/>
      <c r="H764" s="24"/>
      <c r="I764" s="61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58"/>
      <c r="F765" s="24"/>
      <c r="G765" s="24"/>
      <c r="H765" s="24"/>
      <c r="I765" s="61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58"/>
      <c r="F766" s="24"/>
      <c r="G766" s="24"/>
      <c r="H766" s="24"/>
      <c r="I766" s="61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58"/>
      <c r="F767" s="24"/>
      <c r="G767" s="24"/>
      <c r="H767" s="24"/>
      <c r="I767" s="61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58"/>
      <c r="F768" s="24"/>
      <c r="G768" s="24"/>
      <c r="H768" s="24"/>
      <c r="I768" s="61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58"/>
      <c r="F769" s="24"/>
      <c r="G769" s="24"/>
      <c r="H769" s="24"/>
      <c r="I769" s="61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58"/>
      <c r="F770" s="24"/>
      <c r="G770" s="24"/>
      <c r="H770" s="24"/>
      <c r="I770" s="61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58"/>
      <c r="F771" s="24"/>
      <c r="G771" s="24"/>
      <c r="H771" s="24"/>
      <c r="I771" s="61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58"/>
      <c r="F772" s="24"/>
      <c r="G772" s="24"/>
      <c r="H772" s="24"/>
      <c r="I772" s="61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58"/>
      <c r="F773" s="24"/>
      <c r="G773" s="24"/>
      <c r="H773" s="24"/>
      <c r="I773" s="61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58"/>
      <c r="F774" s="24"/>
      <c r="G774" s="24"/>
      <c r="H774" s="24"/>
      <c r="I774" s="61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58"/>
      <c r="F775" s="24"/>
      <c r="G775" s="24"/>
      <c r="H775" s="24"/>
      <c r="I775" s="61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58"/>
      <c r="F776" s="24"/>
      <c r="G776" s="24"/>
      <c r="H776" s="24"/>
      <c r="I776" s="61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58"/>
      <c r="F777" s="24"/>
      <c r="G777" s="24"/>
      <c r="H777" s="24"/>
      <c r="I777" s="61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58"/>
      <c r="F778" s="24"/>
      <c r="G778" s="24"/>
      <c r="H778" s="24"/>
      <c r="I778" s="61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58"/>
      <c r="F779" s="24"/>
      <c r="G779" s="24"/>
      <c r="H779" s="24"/>
      <c r="I779" s="61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58"/>
      <c r="F780" s="24"/>
      <c r="G780" s="24"/>
      <c r="H780" s="24"/>
      <c r="I780" s="61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58"/>
      <c r="F781" s="24"/>
      <c r="G781" s="24"/>
      <c r="H781" s="24"/>
      <c r="I781" s="61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58"/>
      <c r="F782" s="24"/>
      <c r="G782" s="24"/>
      <c r="H782" s="24"/>
      <c r="I782" s="61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58"/>
      <c r="F783" s="24"/>
      <c r="G783" s="24"/>
      <c r="H783" s="24"/>
      <c r="I783" s="61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58"/>
      <c r="F784" s="24"/>
      <c r="G784" s="24"/>
      <c r="H784" s="24"/>
      <c r="I784" s="61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58"/>
      <c r="F785" s="24"/>
      <c r="G785" s="24"/>
      <c r="H785" s="24"/>
      <c r="I785" s="61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58"/>
      <c r="F786" s="24"/>
      <c r="G786" s="24"/>
      <c r="H786" s="24"/>
      <c r="I786" s="61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58"/>
      <c r="F787" s="24"/>
      <c r="G787" s="24"/>
      <c r="H787" s="24"/>
      <c r="I787" s="61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58"/>
      <c r="F788" s="24"/>
      <c r="G788" s="24"/>
      <c r="H788" s="24"/>
      <c r="I788" s="61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58"/>
      <c r="F789" s="24"/>
      <c r="G789" s="24"/>
      <c r="H789" s="24"/>
      <c r="I789" s="61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58"/>
      <c r="F790" s="24"/>
      <c r="G790" s="24"/>
      <c r="H790" s="24"/>
      <c r="I790" s="61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58"/>
      <c r="F791" s="24"/>
      <c r="G791" s="24"/>
      <c r="H791" s="24"/>
      <c r="I791" s="61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58"/>
      <c r="F792" s="24"/>
      <c r="G792" s="24"/>
      <c r="H792" s="24"/>
      <c r="I792" s="61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58"/>
      <c r="F793" s="24"/>
      <c r="G793" s="24"/>
      <c r="H793" s="24"/>
      <c r="I793" s="61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58"/>
      <c r="F794" s="24"/>
      <c r="G794" s="24"/>
      <c r="H794" s="24"/>
      <c r="I794" s="61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58"/>
      <c r="F795" s="24"/>
      <c r="G795" s="24"/>
      <c r="H795" s="24"/>
      <c r="I795" s="61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58"/>
      <c r="F796" s="24"/>
      <c r="G796" s="24"/>
      <c r="H796" s="24"/>
      <c r="I796" s="61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58"/>
      <c r="F797" s="24"/>
      <c r="G797" s="24"/>
      <c r="H797" s="24"/>
      <c r="I797" s="61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58"/>
      <c r="F798" s="24"/>
      <c r="G798" s="24"/>
      <c r="H798" s="24"/>
      <c r="I798" s="61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58"/>
      <c r="F799" s="24"/>
      <c r="G799" s="24"/>
      <c r="H799" s="24"/>
      <c r="I799" s="61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58"/>
      <c r="F800" s="24"/>
      <c r="G800" s="24"/>
      <c r="H800" s="24"/>
      <c r="I800" s="61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58"/>
      <c r="F801" s="24"/>
      <c r="G801" s="24"/>
      <c r="H801" s="24"/>
      <c r="I801" s="61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58"/>
      <c r="F802" s="24"/>
      <c r="G802" s="24"/>
      <c r="H802" s="24"/>
      <c r="I802" s="61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58"/>
      <c r="F803" s="24"/>
      <c r="G803" s="24"/>
      <c r="H803" s="24"/>
      <c r="I803" s="61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58"/>
      <c r="F804" s="24"/>
      <c r="G804" s="24"/>
      <c r="H804" s="24"/>
      <c r="I804" s="61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58"/>
      <c r="F805" s="24"/>
      <c r="G805" s="24"/>
      <c r="H805" s="24"/>
      <c r="I805" s="61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58"/>
      <c r="F806" s="24"/>
      <c r="G806" s="24"/>
      <c r="H806" s="24"/>
      <c r="I806" s="61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58"/>
      <c r="F807" s="24"/>
      <c r="G807" s="24"/>
      <c r="H807" s="24"/>
      <c r="I807" s="61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58"/>
      <c r="F808" s="24"/>
      <c r="G808" s="24"/>
      <c r="H808" s="24"/>
      <c r="I808" s="61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58"/>
      <c r="F809" s="24"/>
      <c r="G809" s="24"/>
      <c r="H809" s="24"/>
      <c r="I809" s="61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58"/>
      <c r="F810" s="24"/>
      <c r="G810" s="24"/>
      <c r="H810" s="24"/>
      <c r="I810" s="61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58"/>
      <c r="F811" s="24"/>
      <c r="G811" s="24"/>
      <c r="H811" s="24"/>
      <c r="I811" s="61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58"/>
      <c r="F812" s="24"/>
      <c r="G812" s="24"/>
      <c r="H812" s="24"/>
      <c r="I812" s="61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58"/>
      <c r="F813" s="24"/>
      <c r="G813" s="24"/>
      <c r="H813" s="24"/>
      <c r="I813" s="61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>
      <c r="A814" s="24"/>
      <c r="B814" s="24"/>
      <c r="C814" s="24"/>
      <c r="D814" s="24"/>
      <c r="E814" s="58"/>
      <c r="F814" s="24"/>
      <c r="G814" s="24"/>
      <c r="H814" s="24"/>
      <c r="I814" s="61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>
      <c r="A815" s="24"/>
      <c r="B815" s="24"/>
      <c r="C815" s="24"/>
      <c r="D815" s="24"/>
      <c r="E815" s="58"/>
      <c r="F815" s="24"/>
      <c r="G815" s="24"/>
      <c r="H815" s="24"/>
      <c r="I815" s="61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>
      <c r="A816" s="24"/>
      <c r="B816" s="24"/>
      <c r="C816" s="24"/>
      <c r="D816" s="24"/>
      <c r="E816" s="58"/>
      <c r="F816" s="24"/>
      <c r="G816" s="24"/>
      <c r="H816" s="24"/>
      <c r="I816" s="61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>
      <c r="A817" s="24"/>
      <c r="B817" s="24"/>
      <c r="C817" s="24"/>
      <c r="D817" s="24"/>
      <c r="E817" s="58"/>
      <c r="F817" s="24"/>
      <c r="G817" s="24"/>
      <c r="H817" s="24"/>
      <c r="I817" s="61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>
      <c r="A818" s="24"/>
      <c r="B818" s="24"/>
      <c r="C818" s="24"/>
      <c r="D818" s="24"/>
      <c r="E818" s="58"/>
      <c r="F818" s="24"/>
      <c r="G818" s="24"/>
      <c r="H818" s="24"/>
      <c r="I818" s="61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>
      <c r="A819" s="24"/>
      <c r="B819" s="24"/>
      <c r="C819" s="24"/>
      <c r="D819" s="24"/>
      <c r="E819" s="58"/>
      <c r="F819" s="24"/>
      <c r="G819" s="24"/>
      <c r="H819" s="24"/>
      <c r="I819" s="61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>
      <c r="A820" s="24"/>
      <c r="B820" s="24"/>
      <c r="C820" s="24"/>
      <c r="D820" s="24"/>
      <c r="E820" s="58"/>
      <c r="F820" s="24"/>
      <c r="G820" s="24"/>
      <c r="H820" s="24"/>
      <c r="I820" s="61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>
      <c r="A821" s="24"/>
      <c r="B821" s="24"/>
      <c r="C821" s="24"/>
      <c r="D821" s="24"/>
      <c r="E821" s="58"/>
      <c r="F821" s="24"/>
      <c r="G821" s="24"/>
      <c r="H821" s="24"/>
      <c r="I821" s="61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>
      <c r="A822" s="24"/>
      <c r="B822" s="24"/>
      <c r="C822" s="24"/>
      <c r="D822" s="24"/>
      <c r="E822" s="58"/>
      <c r="F822" s="24"/>
      <c r="G822" s="24"/>
      <c r="H822" s="24"/>
      <c r="I822" s="61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>
      <c r="A823" s="24"/>
      <c r="B823" s="24"/>
      <c r="C823" s="24"/>
      <c r="D823" s="24"/>
      <c r="E823" s="58"/>
      <c r="F823" s="24"/>
      <c r="G823" s="24"/>
      <c r="H823" s="24"/>
      <c r="I823" s="61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>
      <c r="A824" s="24"/>
      <c r="B824" s="24"/>
      <c r="C824" s="24"/>
      <c r="D824" s="24"/>
      <c r="E824" s="58"/>
      <c r="F824" s="24"/>
      <c r="G824" s="24"/>
      <c r="H824" s="24"/>
      <c r="I824" s="61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>
      <c r="A825" s="24"/>
      <c r="B825" s="24"/>
      <c r="C825" s="24"/>
      <c r="D825" s="24"/>
      <c r="E825" s="58"/>
      <c r="F825" s="24"/>
      <c r="G825" s="24"/>
      <c r="H825" s="24"/>
      <c r="I825" s="61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>
      <c r="A826" s="24"/>
      <c r="B826" s="24"/>
      <c r="C826" s="24"/>
      <c r="D826" s="24"/>
      <c r="E826" s="58"/>
      <c r="F826" s="24"/>
      <c r="G826" s="24"/>
      <c r="H826" s="24"/>
      <c r="I826" s="61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>
      <c r="A827" s="24"/>
      <c r="B827" s="24"/>
      <c r="C827" s="24"/>
      <c r="D827" s="24"/>
      <c r="E827" s="58"/>
      <c r="F827" s="24"/>
      <c r="G827" s="24"/>
      <c r="H827" s="24"/>
      <c r="I827" s="61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>
      <c r="A828" s="24"/>
      <c r="B828" s="24"/>
      <c r="C828" s="24"/>
      <c r="D828" s="24"/>
      <c r="E828" s="58"/>
      <c r="F828" s="24"/>
      <c r="G828" s="24"/>
      <c r="H828" s="24"/>
      <c r="I828" s="61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>
      <c r="A829" s="24"/>
      <c r="B829" s="24"/>
      <c r="C829" s="24"/>
      <c r="D829" s="24"/>
      <c r="E829" s="58"/>
      <c r="F829" s="24"/>
      <c r="G829" s="24"/>
      <c r="H829" s="24"/>
      <c r="I829" s="61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>
      <c r="A830" s="24"/>
      <c r="B830" s="24"/>
      <c r="C830" s="24"/>
      <c r="D830" s="24"/>
      <c r="E830" s="58"/>
      <c r="F830" s="24"/>
      <c r="G830" s="24"/>
      <c r="H830" s="24"/>
      <c r="I830" s="61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>
      <c r="A831" s="24"/>
      <c r="B831" s="24"/>
      <c r="C831" s="24"/>
      <c r="D831" s="24"/>
      <c r="E831" s="58"/>
      <c r="F831" s="24"/>
      <c r="G831" s="24"/>
      <c r="H831" s="24"/>
      <c r="I831" s="61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>
      <c r="A832" s="24"/>
      <c r="B832" s="24"/>
      <c r="C832" s="24"/>
      <c r="D832" s="24"/>
      <c r="E832" s="58"/>
      <c r="F832" s="24"/>
      <c r="G832" s="24"/>
      <c r="H832" s="24"/>
      <c r="I832" s="61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>
      <c r="A833" s="24"/>
      <c r="B833" s="24"/>
      <c r="C833" s="24"/>
      <c r="D833" s="24"/>
      <c r="E833" s="58"/>
      <c r="F833" s="24"/>
      <c r="G833" s="24"/>
      <c r="H833" s="24"/>
      <c r="I833" s="61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>
      <c r="A834" s="24"/>
      <c r="B834" s="24"/>
      <c r="C834" s="24"/>
      <c r="D834" s="24"/>
      <c r="E834" s="58"/>
      <c r="F834" s="24"/>
      <c r="G834" s="24"/>
      <c r="H834" s="24"/>
      <c r="I834" s="61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>
      <c r="A835" s="24"/>
      <c r="B835" s="24"/>
      <c r="C835" s="24"/>
      <c r="D835" s="24"/>
      <c r="E835" s="58"/>
      <c r="F835" s="24"/>
      <c r="G835" s="24"/>
      <c r="H835" s="24"/>
      <c r="I835" s="61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>
      <c r="A836" s="24"/>
      <c r="B836" s="24"/>
      <c r="C836" s="24"/>
      <c r="D836" s="24"/>
      <c r="E836" s="58"/>
      <c r="F836" s="24"/>
      <c r="G836" s="24"/>
      <c r="H836" s="24"/>
      <c r="I836" s="61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>
      <c r="A837" s="24"/>
      <c r="B837" s="24"/>
      <c r="C837" s="24"/>
      <c r="D837" s="24"/>
      <c r="E837" s="58"/>
      <c r="F837" s="24"/>
      <c r="G837" s="24"/>
      <c r="H837" s="24"/>
      <c r="I837" s="61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>
      <c r="A838" s="24"/>
      <c r="B838" s="24"/>
      <c r="C838" s="24"/>
      <c r="D838" s="24"/>
      <c r="E838" s="58"/>
      <c r="F838" s="24"/>
      <c r="G838" s="24"/>
      <c r="H838" s="24"/>
      <c r="I838" s="61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>
      <c r="A839" s="24"/>
      <c r="B839" s="24"/>
      <c r="C839" s="24"/>
      <c r="D839" s="24"/>
      <c r="E839" s="58"/>
      <c r="F839" s="24"/>
      <c r="G839" s="24"/>
      <c r="H839" s="24"/>
      <c r="I839" s="61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>
      <c r="A840" s="24"/>
      <c r="B840" s="24"/>
      <c r="C840" s="24"/>
      <c r="D840" s="24"/>
      <c r="E840" s="58"/>
      <c r="F840" s="24"/>
      <c r="G840" s="24"/>
      <c r="H840" s="24"/>
      <c r="I840" s="61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>
      <c r="A841" s="24"/>
      <c r="B841" s="24"/>
      <c r="C841" s="24"/>
      <c r="D841" s="24"/>
      <c r="E841" s="58"/>
      <c r="F841" s="24"/>
      <c r="G841" s="24"/>
      <c r="H841" s="24"/>
      <c r="I841" s="61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>
      <c r="A842" s="24"/>
      <c r="B842" s="24"/>
      <c r="C842" s="24"/>
      <c r="D842" s="24"/>
      <c r="E842" s="58"/>
      <c r="F842" s="24"/>
      <c r="G842" s="24"/>
      <c r="H842" s="24"/>
      <c r="I842" s="61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>
      <c r="A843" s="24"/>
      <c r="B843" s="24"/>
      <c r="C843" s="24"/>
      <c r="D843" s="24"/>
      <c r="E843" s="58"/>
      <c r="F843" s="24"/>
      <c r="G843" s="24"/>
      <c r="H843" s="24"/>
      <c r="I843" s="61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>
      <c r="A844" s="24"/>
      <c r="B844" s="24"/>
      <c r="C844" s="24"/>
      <c r="D844" s="24"/>
      <c r="E844" s="58"/>
      <c r="F844" s="24"/>
      <c r="G844" s="24"/>
      <c r="H844" s="24"/>
      <c r="I844" s="61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>
      <c r="A845" s="24"/>
      <c r="B845" s="24"/>
      <c r="C845" s="24"/>
      <c r="D845" s="24"/>
      <c r="E845" s="58"/>
      <c r="F845" s="24"/>
      <c r="G845" s="24"/>
      <c r="H845" s="24"/>
      <c r="I845" s="61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>
      <c r="A846" s="24"/>
      <c r="B846" s="24"/>
      <c r="C846" s="24"/>
      <c r="D846" s="24"/>
      <c r="E846" s="58"/>
      <c r="F846" s="24"/>
      <c r="G846" s="24"/>
      <c r="H846" s="24"/>
      <c r="I846" s="61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>
      <c r="A847" s="24"/>
      <c r="B847" s="24"/>
      <c r="C847" s="24"/>
      <c r="D847" s="24"/>
      <c r="E847" s="58"/>
      <c r="F847" s="24"/>
      <c r="G847" s="24"/>
      <c r="H847" s="24"/>
      <c r="I847" s="61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>
      <c r="A848" s="24"/>
      <c r="B848" s="24"/>
      <c r="C848" s="24"/>
      <c r="D848" s="24"/>
      <c r="E848" s="58"/>
      <c r="F848" s="24"/>
      <c r="G848" s="24"/>
      <c r="H848" s="24"/>
      <c r="I848" s="61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>
      <c r="A849" s="24"/>
      <c r="B849" s="24"/>
      <c r="C849" s="24"/>
      <c r="D849" s="24"/>
      <c r="E849" s="58"/>
      <c r="F849" s="24"/>
      <c r="G849" s="24"/>
      <c r="H849" s="24"/>
      <c r="I849" s="61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>
      <c r="A850" s="24"/>
      <c r="B850" s="24"/>
      <c r="C850" s="24"/>
      <c r="D850" s="24"/>
      <c r="E850" s="58"/>
      <c r="F850" s="24"/>
      <c r="G850" s="24"/>
      <c r="H850" s="24"/>
      <c r="I850" s="61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>
      <c r="A851" s="24"/>
      <c r="B851" s="24"/>
      <c r="C851" s="24"/>
      <c r="D851" s="24"/>
      <c r="E851" s="58"/>
      <c r="F851" s="24"/>
      <c r="G851" s="24"/>
      <c r="H851" s="24"/>
      <c r="I851" s="61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>
      <c r="A852" s="24"/>
      <c r="B852" s="24"/>
      <c r="C852" s="24"/>
      <c r="D852" s="24"/>
      <c r="E852" s="58"/>
      <c r="F852" s="24"/>
      <c r="G852" s="24"/>
      <c r="H852" s="24"/>
      <c r="I852" s="61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>
      <c r="A853" s="24"/>
      <c r="B853" s="24"/>
      <c r="C853" s="24"/>
      <c r="D853" s="24"/>
      <c r="E853" s="58"/>
      <c r="F853" s="24"/>
      <c r="G853" s="24"/>
      <c r="H853" s="24"/>
      <c r="I853" s="61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>
      <c r="A854" s="24"/>
      <c r="B854" s="24"/>
      <c r="C854" s="24"/>
      <c r="D854" s="24"/>
      <c r="E854" s="58"/>
      <c r="F854" s="24"/>
      <c r="G854" s="24"/>
      <c r="H854" s="24"/>
      <c r="I854" s="61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>
      <c r="A855" s="24"/>
      <c r="B855" s="24"/>
      <c r="C855" s="24"/>
      <c r="D855" s="24"/>
      <c r="E855" s="58"/>
      <c r="F855" s="24"/>
      <c r="G855" s="24"/>
      <c r="H855" s="24"/>
      <c r="I855" s="61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>
      <c r="A856" s="24"/>
      <c r="B856" s="24"/>
      <c r="C856" s="24"/>
      <c r="D856" s="24"/>
      <c r="E856" s="58"/>
      <c r="F856" s="24"/>
      <c r="G856" s="24"/>
      <c r="H856" s="24"/>
      <c r="I856" s="61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>
      <c r="A857" s="24"/>
      <c r="B857" s="24"/>
      <c r="C857" s="24"/>
      <c r="D857" s="24"/>
      <c r="E857" s="58"/>
      <c r="F857" s="24"/>
      <c r="G857" s="24"/>
      <c r="H857" s="24"/>
      <c r="I857" s="61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>
      <c r="A858" s="24"/>
      <c r="B858" s="24"/>
      <c r="C858" s="24"/>
      <c r="D858" s="24"/>
      <c r="E858" s="58"/>
      <c r="F858" s="24"/>
      <c r="G858" s="24"/>
      <c r="H858" s="24"/>
      <c r="I858" s="61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>
      <c r="A859" s="24"/>
      <c r="B859" s="24"/>
      <c r="C859" s="24"/>
      <c r="D859" s="24"/>
      <c r="E859" s="58"/>
      <c r="F859" s="24"/>
      <c r="G859" s="24"/>
      <c r="H859" s="24"/>
      <c r="I859" s="61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>
      <c r="A860" s="24"/>
      <c r="B860" s="24"/>
      <c r="C860" s="24"/>
      <c r="D860" s="24"/>
      <c r="E860" s="58"/>
      <c r="F860" s="24"/>
      <c r="G860" s="24"/>
      <c r="H860" s="24"/>
      <c r="I860" s="61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>
      <c r="A861" s="24"/>
      <c r="B861" s="24"/>
      <c r="C861" s="24"/>
      <c r="D861" s="24"/>
      <c r="E861" s="58"/>
      <c r="F861" s="24"/>
      <c r="G861" s="24"/>
      <c r="H861" s="24"/>
      <c r="I861" s="61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>
      <c r="A862" s="24"/>
      <c r="B862" s="24"/>
      <c r="C862" s="24"/>
      <c r="D862" s="24"/>
      <c r="E862" s="58"/>
      <c r="F862" s="24"/>
      <c r="G862" s="24"/>
      <c r="H862" s="24"/>
      <c r="I862" s="61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>
      <c r="A863" s="24"/>
      <c r="B863" s="24"/>
      <c r="C863" s="24"/>
      <c r="D863" s="24"/>
      <c r="E863" s="58"/>
      <c r="F863" s="24"/>
      <c r="G863" s="24"/>
      <c r="H863" s="24"/>
      <c r="I863" s="61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>
      <c r="A864" s="24"/>
      <c r="B864" s="24"/>
      <c r="C864" s="24"/>
      <c r="D864" s="24"/>
      <c r="E864" s="58"/>
      <c r="F864" s="24"/>
      <c r="G864" s="24"/>
      <c r="H864" s="24"/>
      <c r="I864" s="61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>
      <c r="A865" s="24"/>
      <c r="B865" s="24"/>
      <c r="C865" s="24"/>
      <c r="D865" s="24"/>
      <c r="E865" s="58"/>
      <c r="F865" s="24"/>
      <c r="G865" s="24"/>
      <c r="H865" s="24"/>
      <c r="I865" s="61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>
      <c r="A866" s="24"/>
      <c r="B866" s="24"/>
      <c r="C866" s="24"/>
      <c r="D866" s="24"/>
      <c r="E866" s="58"/>
      <c r="F866" s="24"/>
      <c r="G866" s="24"/>
      <c r="H866" s="24"/>
      <c r="I866" s="61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>
      <c r="A867" s="24"/>
      <c r="B867" s="24"/>
      <c r="C867" s="24"/>
      <c r="D867" s="24"/>
      <c r="E867" s="58"/>
      <c r="F867" s="24"/>
      <c r="G867" s="24"/>
      <c r="H867" s="24"/>
      <c r="I867" s="61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>
      <c r="A868" s="24"/>
      <c r="B868" s="24"/>
      <c r="C868" s="24"/>
      <c r="D868" s="24"/>
      <c r="E868" s="58"/>
      <c r="F868" s="24"/>
      <c r="G868" s="24"/>
      <c r="H868" s="24"/>
      <c r="I868" s="61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>
      <c r="A869" s="24"/>
      <c r="B869" s="24"/>
      <c r="C869" s="24"/>
      <c r="D869" s="24"/>
      <c r="E869" s="58"/>
      <c r="F869" s="24"/>
      <c r="G869" s="24"/>
      <c r="H869" s="24"/>
      <c r="I869" s="61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>
      <c r="A870" s="24"/>
      <c r="B870" s="24"/>
      <c r="C870" s="24"/>
      <c r="D870" s="24"/>
      <c r="E870" s="58"/>
      <c r="F870" s="24"/>
      <c r="G870" s="24"/>
      <c r="H870" s="24"/>
      <c r="I870" s="61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>
      <c r="A871" s="24"/>
      <c r="B871" s="24"/>
      <c r="C871" s="24"/>
      <c r="D871" s="24"/>
      <c r="E871" s="58"/>
      <c r="F871" s="24"/>
      <c r="G871" s="24"/>
      <c r="H871" s="24"/>
      <c r="I871" s="61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>
      <c r="A872" s="24"/>
      <c r="B872" s="24"/>
      <c r="C872" s="24"/>
      <c r="D872" s="24"/>
      <c r="E872" s="58"/>
      <c r="F872" s="24"/>
      <c r="G872" s="24"/>
      <c r="H872" s="24"/>
      <c r="I872" s="61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>
      <c r="A873" s="24"/>
      <c r="B873" s="24"/>
      <c r="C873" s="24"/>
      <c r="D873" s="24"/>
      <c r="E873" s="58"/>
      <c r="F873" s="24"/>
      <c r="G873" s="24"/>
      <c r="H873" s="24"/>
      <c r="I873" s="61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>
      <c r="A874" s="24"/>
      <c r="B874" s="24"/>
      <c r="C874" s="24"/>
      <c r="D874" s="24"/>
      <c r="E874" s="58"/>
      <c r="F874" s="24"/>
      <c r="G874" s="24"/>
      <c r="H874" s="24"/>
      <c r="I874" s="61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>
      <c r="A875" s="24"/>
      <c r="B875" s="24"/>
      <c r="C875" s="24"/>
      <c r="D875" s="24"/>
      <c r="E875" s="58"/>
      <c r="F875" s="24"/>
      <c r="G875" s="24"/>
      <c r="H875" s="24"/>
      <c r="I875" s="61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>
      <c r="A876" s="24"/>
      <c r="B876" s="24"/>
      <c r="C876" s="24"/>
      <c r="D876" s="24"/>
      <c r="E876" s="58"/>
      <c r="F876" s="24"/>
      <c r="G876" s="24"/>
      <c r="H876" s="24"/>
      <c r="I876" s="61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>
      <c r="A877" s="24"/>
      <c r="B877" s="24"/>
      <c r="C877" s="24"/>
      <c r="D877" s="24"/>
      <c r="E877" s="58"/>
      <c r="F877" s="24"/>
      <c r="G877" s="24"/>
      <c r="H877" s="24"/>
      <c r="I877" s="61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>
      <c r="A878" s="24"/>
      <c r="B878" s="24"/>
      <c r="C878" s="24"/>
      <c r="D878" s="24"/>
      <c r="E878" s="58"/>
      <c r="F878" s="24"/>
      <c r="G878" s="24"/>
      <c r="H878" s="24"/>
      <c r="I878" s="61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>
      <c r="A879" s="24"/>
      <c r="B879" s="24"/>
      <c r="C879" s="24"/>
      <c r="D879" s="24"/>
      <c r="E879" s="58"/>
      <c r="F879" s="24"/>
      <c r="G879" s="24"/>
      <c r="H879" s="24"/>
      <c r="I879" s="61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>
      <c r="A880" s="24"/>
      <c r="B880" s="24"/>
      <c r="C880" s="24"/>
      <c r="D880" s="24"/>
      <c r="E880" s="58"/>
      <c r="F880" s="24"/>
      <c r="G880" s="24"/>
      <c r="H880" s="24"/>
      <c r="I880" s="61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>
      <c r="A881" s="24"/>
      <c r="B881" s="24"/>
      <c r="C881" s="24"/>
      <c r="D881" s="24"/>
      <c r="E881" s="58"/>
      <c r="F881" s="24"/>
      <c r="G881" s="24"/>
      <c r="H881" s="24"/>
      <c r="I881" s="61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>
      <c r="A882" s="24"/>
      <c r="B882" s="24"/>
      <c r="C882" s="24"/>
      <c r="D882" s="24"/>
      <c r="E882" s="58"/>
      <c r="F882" s="24"/>
      <c r="G882" s="24"/>
      <c r="H882" s="24"/>
      <c r="I882" s="61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>
      <c r="A883" s="24"/>
      <c r="B883" s="24"/>
      <c r="C883" s="24"/>
      <c r="D883" s="24"/>
      <c r="E883" s="58"/>
      <c r="F883" s="24"/>
      <c r="G883" s="24"/>
      <c r="H883" s="24"/>
      <c r="I883" s="61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>
      <c r="A884" s="24"/>
      <c r="B884" s="24"/>
      <c r="C884" s="24"/>
      <c r="D884" s="24"/>
      <c r="E884" s="58"/>
      <c r="F884" s="24"/>
      <c r="G884" s="24"/>
      <c r="H884" s="24"/>
      <c r="I884" s="61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>
      <c r="A885" s="24"/>
      <c r="B885" s="24"/>
      <c r="C885" s="24"/>
      <c r="D885" s="24"/>
      <c r="E885" s="58"/>
      <c r="F885" s="24"/>
      <c r="G885" s="24"/>
      <c r="H885" s="24"/>
      <c r="I885" s="61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>
      <c r="A886" s="24"/>
      <c r="B886" s="24"/>
      <c r="C886" s="24"/>
      <c r="D886" s="24"/>
      <c r="E886" s="58"/>
      <c r="F886" s="24"/>
      <c r="G886" s="24"/>
      <c r="H886" s="24"/>
      <c r="I886" s="61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>
      <c r="A887" s="24"/>
      <c r="B887" s="24"/>
      <c r="C887" s="24"/>
      <c r="D887" s="24"/>
      <c r="E887" s="58"/>
      <c r="F887" s="24"/>
      <c r="G887" s="24"/>
      <c r="H887" s="24"/>
      <c r="I887" s="61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>
      <c r="A888" s="24"/>
      <c r="B888" s="24"/>
      <c r="C888" s="24"/>
      <c r="D888" s="24"/>
      <c r="E888" s="58"/>
      <c r="F888" s="24"/>
      <c r="G888" s="24"/>
      <c r="H888" s="24"/>
      <c r="I888" s="61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>
      <c r="A889" s="24"/>
      <c r="B889" s="24"/>
      <c r="C889" s="24"/>
      <c r="D889" s="24"/>
      <c r="E889" s="58"/>
      <c r="F889" s="24"/>
      <c r="G889" s="24"/>
      <c r="H889" s="24"/>
      <c r="I889" s="61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>
      <c r="A890" s="24"/>
      <c r="B890" s="24"/>
      <c r="C890" s="24"/>
      <c r="D890" s="24"/>
      <c r="E890" s="58"/>
      <c r="F890" s="24"/>
      <c r="G890" s="24"/>
      <c r="H890" s="24"/>
      <c r="I890" s="61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>
      <c r="A891" s="24"/>
      <c r="B891" s="24"/>
      <c r="C891" s="24"/>
      <c r="D891" s="24"/>
      <c r="E891" s="58"/>
      <c r="F891" s="24"/>
      <c r="G891" s="24"/>
      <c r="H891" s="24"/>
      <c r="I891" s="61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>
      <c r="A892" s="24"/>
      <c r="B892" s="24"/>
      <c r="C892" s="24"/>
      <c r="D892" s="24"/>
      <c r="E892" s="58"/>
      <c r="F892" s="24"/>
      <c r="G892" s="24"/>
      <c r="H892" s="24"/>
      <c r="I892" s="61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>
      <c r="A893" s="24"/>
      <c r="B893" s="24"/>
      <c r="C893" s="24"/>
      <c r="D893" s="24"/>
      <c r="E893" s="58"/>
      <c r="F893" s="24"/>
      <c r="G893" s="24"/>
      <c r="H893" s="24"/>
      <c r="I893" s="61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>
      <c r="A894" s="24"/>
      <c r="B894" s="24"/>
      <c r="C894" s="24"/>
      <c r="D894" s="24"/>
      <c r="E894" s="58"/>
      <c r="F894" s="24"/>
      <c r="G894" s="24"/>
      <c r="H894" s="24"/>
      <c r="I894" s="61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>
      <c r="A895" s="24"/>
      <c r="B895" s="24"/>
      <c r="C895" s="24"/>
      <c r="D895" s="24"/>
      <c r="E895" s="58"/>
      <c r="F895" s="24"/>
      <c r="G895" s="24"/>
      <c r="H895" s="24"/>
      <c r="I895" s="61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>
      <c r="A896" s="24"/>
      <c r="B896" s="24"/>
      <c r="C896" s="24"/>
      <c r="D896" s="24"/>
      <c r="E896" s="58"/>
      <c r="F896" s="24"/>
      <c r="G896" s="24"/>
      <c r="H896" s="24"/>
      <c r="I896" s="61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>
      <c r="A897" s="24"/>
      <c r="B897" s="24"/>
      <c r="C897" s="24"/>
      <c r="D897" s="24"/>
      <c r="E897" s="58"/>
      <c r="F897" s="24"/>
      <c r="G897" s="24"/>
      <c r="H897" s="24"/>
      <c r="I897" s="61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>
      <c r="A898" s="24"/>
      <c r="B898" s="24"/>
      <c r="C898" s="24"/>
      <c r="D898" s="24"/>
      <c r="E898" s="58"/>
      <c r="F898" s="24"/>
      <c r="G898" s="24"/>
      <c r="H898" s="24"/>
      <c r="I898" s="61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>
      <c r="A899" s="24"/>
      <c r="B899" s="24"/>
      <c r="C899" s="24"/>
      <c r="D899" s="24"/>
      <c r="E899" s="58"/>
      <c r="F899" s="24"/>
      <c r="G899" s="24"/>
      <c r="H899" s="24"/>
      <c r="I899" s="61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>
      <c r="A900" s="24"/>
      <c r="B900" s="24"/>
      <c r="C900" s="24"/>
      <c r="D900" s="24"/>
      <c r="E900" s="58"/>
      <c r="F900" s="24"/>
      <c r="G900" s="24"/>
      <c r="H900" s="24"/>
      <c r="I900" s="61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>
      <c r="A901" s="24"/>
      <c r="B901" s="24"/>
      <c r="C901" s="24"/>
      <c r="D901" s="24"/>
      <c r="E901" s="58"/>
      <c r="F901" s="24"/>
      <c r="G901" s="24"/>
      <c r="H901" s="24"/>
      <c r="I901" s="61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>
      <c r="A902" s="24"/>
      <c r="B902" s="24"/>
      <c r="C902" s="24"/>
      <c r="D902" s="24"/>
      <c r="E902" s="58"/>
      <c r="F902" s="24"/>
      <c r="G902" s="24"/>
      <c r="H902" s="24"/>
      <c r="I902" s="61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>
      <c r="A903" s="24"/>
      <c r="B903" s="24"/>
      <c r="C903" s="24"/>
      <c r="D903" s="24"/>
      <c r="E903" s="58"/>
      <c r="F903" s="24"/>
      <c r="G903" s="24"/>
      <c r="H903" s="24"/>
      <c r="I903" s="61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>
      <c r="A904" s="24"/>
      <c r="B904" s="24"/>
      <c r="C904" s="24"/>
      <c r="D904" s="24"/>
      <c r="E904" s="58"/>
      <c r="F904" s="24"/>
      <c r="G904" s="24"/>
      <c r="H904" s="24"/>
      <c r="I904" s="61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>
      <c r="A905" s="24"/>
      <c r="B905" s="24"/>
      <c r="C905" s="24"/>
      <c r="D905" s="24"/>
      <c r="E905" s="58"/>
      <c r="F905" s="24"/>
      <c r="G905" s="24"/>
      <c r="H905" s="24"/>
      <c r="I905" s="61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>
      <c r="A906" s="24"/>
      <c r="B906" s="24"/>
      <c r="C906" s="24"/>
      <c r="D906" s="24"/>
      <c r="E906" s="58"/>
      <c r="F906" s="24"/>
      <c r="G906" s="24"/>
      <c r="H906" s="24"/>
      <c r="I906" s="61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>
      <c r="A907" s="24"/>
      <c r="B907" s="24"/>
      <c r="C907" s="24"/>
      <c r="D907" s="24"/>
      <c r="E907" s="58"/>
      <c r="F907" s="24"/>
      <c r="G907" s="24"/>
      <c r="H907" s="24"/>
      <c r="I907" s="61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>
      <c r="A908" s="24"/>
      <c r="B908" s="24"/>
      <c r="C908" s="24"/>
      <c r="D908" s="24"/>
      <c r="E908" s="58"/>
      <c r="F908" s="24"/>
      <c r="G908" s="24"/>
      <c r="H908" s="24"/>
      <c r="I908" s="61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>
      <c r="A909" s="24"/>
      <c r="B909" s="24"/>
      <c r="C909" s="24"/>
      <c r="D909" s="24"/>
      <c r="E909" s="58"/>
      <c r="F909" s="24"/>
      <c r="G909" s="24"/>
      <c r="H909" s="24"/>
      <c r="I909" s="61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>
      <c r="A910" s="24"/>
      <c r="B910" s="24"/>
      <c r="C910" s="24"/>
      <c r="D910" s="24"/>
      <c r="E910" s="58"/>
      <c r="F910" s="24"/>
      <c r="G910" s="24"/>
      <c r="H910" s="24"/>
      <c r="I910" s="61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>
      <c r="A911" s="24"/>
      <c r="B911" s="24"/>
      <c r="C911" s="24"/>
      <c r="D911" s="24"/>
      <c r="E911" s="58"/>
      <c r="F911" s="24"/>
      <c r="G911" s="24"/>
      <c r="H911" s="24"/>
      <c r="I911" s="61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>
      <c r="A912" s="24"/>
      <c r="B912" s="24"/>
      <c r="C912" s="24"/>
      <c r="D912" s="24"/>
      <c r="E912" s="58"/>
      <c r="F912" s="24"/>
      <c r="G912" s="24"/>
      <c r="H912" s="24"/>
      <c r="I912" s="61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>
      <c r="A913" s="24"/>
      <c r="B913" s="24"/>
      <c r="C913" s="24"/>
      <c r="D913" s="24"/>
      <c r="E913" s="58"/>
      <c r="F913" s="24"/>
      <c r="G913" s="24"/>
      <c r="H913" s="24"/>
      <c r="I913" s="61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>
      <c r="A914" s="24"/>
      <c r="B914" s="24"/>
      <c r="C914" s="24"/>
      <c r="D914" s="24"/>
      <c r="E914" s="58"/>
      <c r="F914" s="24"/>
      <c r="G914" s="24"/>
      <c r="H914" s="24"/>
      <c r="I914" s="61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>
      <c r="A915" s="24"/>
      <c r="B915" s="24"/>
      <c r="C915" s="24"/>
      <c r="D915" s="24"/>
      <c r="E915" s="58"/>
      <c r="F915" s="24"/>
      <c r="G915" s="24"/>
      <c r="H915" s="24"/>
      <c r="I915" s="61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>
      <c r="A916" s="24"/>
      <c r="B916" s="24"/>
      <c r="C916" s="24"/>
      <c r="D916" s="24"/>
      <c r="E916" s="58"/>
      <c r="F916" s="24"/>
      <c r="G916" s="24"/>
      <c r="H916" s="24"/>
      <c r="I916" s="61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>
      <c r="A917" s="24"/>
      <c r="B917" s="24"/>
      <c r="C917" s="24"/>
      <c r="D917" s="24"/>
      <c r="E917" s="58"/>
      <c r="F917" s="24"/>
      <c r="G917" s="24"/>
      <c r="H917" s="24"/>
      <c r="I917" s="61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>
      <c r="A918" s="24"/>
      <c r="B918" s="24"/>
      <c r="C918" s="24"/>
      <c r="D918" s="24"/>
      <c r="E918" s="58"/>
      <c r="F918" s="24"/>
      <c r="G918" s="24"/>
      <c r="H918" s="24"/>
      <c r="I918" s="61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>
      <c r="A919" s="24"/>
      <c r="B919" s="24"/>
      <c r="C919" s="24"/>
      <c r="D919" s="24"/>
      <c r="E919" s="58"/>
      <c r="F919" s="24"/>
      <c r="G919" s="24"/>
      <c r="H919" s="24"/>
      <c r="I919" s="61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>
      <c r="A920" s="24"/>
      <c r="B920" s="24"/>
      <c r="C920" s="24"/>
      <c r="D920" s="24"/>
      <c r="E920" s="58"/>
      <c r="F920" s="24"/>
      <c r="G920" s="24"/>
      <c r="H920" s="24"/>
      <c r="I920" s="61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>
      <c r="A921" s="24"/>
      <c r="B921" s="24"/>
      <c r="C921" s="24"/>
      <c r="D921" s="24"/>
      <c r="E921" s="58"/>
      <c r="F921" s="24"/>
      <c r="G921" s="24"/>
      <c r="H921" s="24"/>
      <c r="I921" s="61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>
      <c r="A922" s="24"/>
      <c r="B922" s="24"/>
      <c r="C922" s="24"/>
      <c r="D922" s="24"/>
      <c r="E922" s="58"/>
      <c r="F922" s="24"/>
      <c r="G922" s="24"/>
      <c r="H922" s="24"/>
      <c r="I922" s="61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>
      <c r="A923" s="24"/>
      <c r="B923" s="24"/>
      <c r="C923" s="24"/>
      <c r="D923" s="24"/>
      <c r="E923" s="58"/>
      <c r="F923" s="24"/>
      <c r="G923" s="24"/>
      <c r="H923" s="24"/>
      <c r="I923" s="61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>
      <c r="A924" s="24"/>
      <c r="B924" s="24"/>
      <c r="C924" s="24"/>
      <c r="D924" s="24"/>
      <c r="E924" s="58"/>
      <c r="F924" s="24"/>
      <c r="G924" s="24"/>
      <c r="H924" s="24"/>
      <c r="I924" s="61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>
      <c r="A925" s="24"/>
      <c r="B925" s="24"/>
      <c r="C925" s="24"/>
      <c r="D925" s="24"/>
      <c r="E925" s="58"/>
      <c r="F925" s="24"/>
      <c r="G925" s="24"/>
      <c r="H925" s="24"/>
      <c r="I925" s="61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>
      <c r="A926" s="24"/>
      <c r="B926" s="24"/>
      <c r="C926" s="24"/>
      <c r="D926" s="24"/>
      <c r="E926" s="58"/>
      <c r="F926" s="24"/>
      <c r="G926" s="24"/>
      <c r="H926" s="24"/>
      <c r="I926" s="61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>
      <c r="A927" s="24"/>
      <c r="B927" s="24"/>
      <c r="C927" s="24"/>
      <c r="D927" s="24"/>
      <c r="E927" s="58"/>
      <c r="F927" s="24"/>
      <c r="G927" s="24"/>
      <c r="H927" s="24"/>
      <c r="I927" s="61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>
      <c r="A928" s="24"/>
      <c r="B928" s="24"/>
      <c r="C928" s="24"/>
      <c r="D928" s="24"/>
      <c r="E928" s="58"/>
      <c r="F928" s="24"/>
      <c r="G928" s="24"/>
      <c r="H928" s="24"/>
      <c r="I928" s="61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>
      <c r="A929" s="24"/>
      <c r="B929" s="24"/>
      <c r="C929" s="24"/>
      <c r="D929" s="24"/>
      <c r="E929" s="58"/>
      <c r="F929" s="24"/>
      <c r="G929" s="24"/>
      <c r="H929" s="24"/>
      <c r="I929" s="61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>
      <c r="A930" s="24"/>
      <c r="B930" s="24"/>
      <c r="C930" s="24"/>
      <c r="D930" s="24"/>
      <c r="E930" s="58"/>
      <c r="F930" s="24"/>
      <c r="G930" s="24"/>
      <c r="H930" s="24"/>
      <c r="I930" s="61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>
      <c r="A931" s="24"/>
      <c r="B931" s="24"/>
      <c r="C931" s="24"/>
      <c r="D931" s="24"/>
      <c r="E931" s="58"/>
      <c r="F931" s="24"/>
      <c r="G931" s="24"/>
      <c r="H931" s="24"/>
      <c r="I931" s="61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>
      <c r="A932" s="24"/>
      <c r="B932" s="24"/>
      <c r="C932" s="24"/>
      <c r="D932" s="24"/>
      <c r="E932" s="58"/>
      <c r="F932" s="24"/>
      <c r="G932" s="24"/>
      <c r="H932" s="24"/>
      <c r="I932" s="61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>
      <c r="A933" s="24"/>
      <c r="B933" s="24"/>
      <c r="C933" s="24"/>
      <c r="D933" s="24"/>
      <c r="E933" s="58"/>
      <c r="F933" s="24"/>
      <c r="G933" s="24"/>
      <c r="H933" s="24"/>
      <c r="I933" s="61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>
      <c r="A934" s="24"/>
      <c r="B934" s="24"/>
      <c r="C934" s="24"/>
      <c r="D934" s="24"/>
      <c r="E934" s="58"/>
      <c r="F934" s="24"/>
      <c r="G934" s="24"/>
      <c r="H934" s="24"/>
      <c r="I934" s="61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>
      <c r="A935" s="24"/>
      <c r="B935" s="24"/>
      <c r="C935" s="24"/>
      <c r="D935" s="24"/>
      <c r="E935" s="58"/>
      <c r="F935" s="24"/>
      <c r="G935" s="24"/>
      <c r="H935" s="24"/>
      <c r="I935" s="61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>
      <c r="A936" s="24"/>
      <c r="B936" s="24"/>
      <c r="C936" s="24"/>
      <c r="D936" s="24"/>
      <c r="E936" s="58"/>
      <c r="F936" s="24"/>
      <c r="G936" s="24"/>
      <c r="H936" s="24"/>
      <c r="I936" s="61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>
      <c r="A937" s="24"/>
      <c r="B937" s="24"/>
      <c r="C937" s="24"/>
      <c r="D937" s="24"/>
      <c r="E937" s="58"/>
      <c r="F937" s="24"/>
      <c r="G937" s="24"/>
      <c r="H937" s="24"/>
      <c r="I937" s="61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>
      <c r="A938" s="24"/>
      <c r="B938" s="24"/>
      <c r="C938" s="24"/>
      <c r="D938" s="24"/>
      <c r="E938" s="58"/>
      <c r="F938" s="24"/>
      <c r="G938" s="24"/>
      <c r="H938" s="24"/>
      <c r="I938" s="61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>
      <c r="A939" s="24"/>
      <c r="B939" s="24"/>
      <c r="C939" s="24"/>
      <c r="D939" s="24"/>
      <c r="E939" s="58"/>
      <c r="F939" s="24"/>
      <c r="G939" s="24"/>
      <c r="H939" s="24"/>
      <c r="I939" s="61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>
      <c r="A940" s="24"/>
      <c r="B940" s="24"/>
      <c r="C940" s="24"/>
      <c r="D940" s="24"/>
      <c r="E940" s="58"/>
      <c r="F940" s="24"/>
      <c r="G940" s="24"/>
      <c r="H940" s="24"/>
      <c r="I940" s="61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>
      <c r="A941" s="24"/>
      <c r="B941" s="24"/>
      <c r="C941" s="24"/>
      <c r="D941" s="24"/>
      <c r="E941" s="58"/>
      <c r="F941" s="24"/>
      <c r="G941" s="24"/>
      <c r="H941" s="24"/>
      <c r="I941" s="61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>
      <c r="A942" s="24"/>
      <c r="B942" s="24"/>
      <c r="C942" s="24"/>
      <c r="D942" s="24"/>
      <c r="E942" s="58"/>
      <c r="F942" s="24"/>
      <c r="G942" s="24"/>
      <c r="H942" s="24"/>
      <c r="I942" s="61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>
      <c r="A943" s="24"/>
      <c r="B943" s="24"/>
      <c r="C943" s="24"/>
      <c r="D943" s="24"/>
      <c r="E943" s="58"/>
      <c r="F943" s="24"/>
      <c r="G943" s="24"/>
      <c r="H943" s="24"/>
      <c r="I943" s="61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>
      <c r="A944" s="24"/>
      <c r="B944" s="24"/>
      <c r="C944" s="24"/>
      <c r="D944" s="24"/>
      <c r="E944" s="58"/>
      <c r="F944" s="24"/>
      <c r="G944" s="24"/>
      <c r="H944" s="24"/>
      <c r="I944" s="61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>
      <c r="A945" s="24"/>
      <c r="B945" s="24"/>
      <c r="C945" s="24"/>
      <c r="D945" s="24"/>
      <c r="E945" s="58"/>
      <c r="F945" s="24"/>
      <c r="G945" s="24"/>
      <c r="H945" s="24"/>
      <c r="I945" s="61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>
      <c r="A946" s="24"/>
      <c r="B946" s="24"/>
      <c r="C946" s="24"/>
      <c r="D946" s="24"/>
      <c r="E946" s="58"/>
      <c r="F946" s="24"/>
      <c r="G946" s="24"/>
      <c r="H946" s="24"/>
      <c r="I946" s="61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>
      <c r="A947" s="24"/>
      <c r="B947" s="24"/>
      <c r="C947" s="24"/>
      <c r="D947" s="24"/>
      <c r="E947" s="58"/>
      <c r="F947" s="24"/>
      <c r="G947" s="24"/>
      <c r="H947" s="24"/>
      <c r="I947" s="61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>
      <c r="A948" s="24"/>
      <c r="B948" s="24"/>
      <c r="C948" s="24"/>
      <c r="D948" s="24"/>
      <c r="E948" s="58"/>
      <c r="F948" s="24"/>
      <c r="G948" s="24"/>
      <c r="H948" s="24"/>
      <c r="I948" s="61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>
      <c r="A949" s="24"/>
      <c r="B949" s="24"/>
      <c r="C949" s="24"/>
      <c r="D949" s="24"/>
      <c r="E949" s="58"/>
      <c r="F949" s="24"/>
      <c r="G949" s="24"/>
      <c r="H949" s="24"/>
      <c r="I949" s="61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>
      <c r="A950" s="24"/>
      <c r="B950" s="24"/>
      <c r="C950" s="24"/>
      <c r="D950" s="24"/>
      <c r="E950" s="58"/>
      <c r="F950" s="24"/>
      <c r="G950" s="24"/>
      <c r="H950" s="24"/>
      <c r="I950" s="61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>
      <c r="A951" s="24"/>
      <c r="B951" s="24"/>
      <c r="C951" s="24"/>
      <c r="D951" s="24"/>
      <c r="E951" s="58"/>
      <c r="F951" s="24"/>
      <c r="G951" s="24"/>
      <c r="H951" s="24"/>
      <c r="I951" s="61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>
      <c r="A952" s="24"/>
      <c r="B952" s="24"/>
      <c r="C952" s="24"/>
      <c r="D952" s="24"/>
      <c r="E952" s="58"/>
      <c r="F952" s="24"/>
      <c r="G952" s="24"/>
      <c r="H952" s="24"/>
      <c r="I952" s="61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>
      <c r="A953" s="24"/>
      <c r="B953" s="24"/>
      <c r="C953" s="24"/>
      <c r="D953" s="24"/>
      <c r="E953" s="58"/>
      <c r="F953" s="24"/>
      <c r="G953" s="24"/>
      <c r="H953" s="24"/>
      <c r="I953" s="61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>
      <c r="A954" s="24"/>
      <c r="B954" s="24"/>
      <c r="C954" s="24"/>
      <c r="D954" s="24"/>
      <c r="E954" s="58"/>
      <c r="F954" s="24"/>
      <c r="G954" s="24"/>
      <c r="H954" s="24"/>
      <c r="I954" s="61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>
      <c r="A955" s="24"/>
      <c r="B955" s="24"/>
      <c r="C955" s="24"/>
      <c r="D955" s="24"/>
      <c r="E955" s="58"/>
      <c r="F955" s="24"/>
      <c r="G955" s="24"/>
      <c r="H955" s="24"/>
      <c r="I955" s="61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>
      <c r="A956" s="24"/>
      <c r="B956" s="24"/>
      <c r="C956" s="24"/>
      <c r="D956" s="24"/>
      <c r="E956" s="58"/>
      <c r="F956" s="24"/>
      <c r="G956" s="24"/>
      <c r="H956" s="24"/>
      <c r="I956" s="61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>
      <c r="A957" s="24"/>
      <c r="B957" s="24"/>
      <c r="C957" s="24"/>
      <c r="D957" s="24"/>
      <c r="E957" s="58"/>
      <c r="F957" s="24"/>
      <c r="G957" s="24"/>
      <c r="H957" s="24"/>
      <c r="I957" s="61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>
      <c r="A958" s="24"/>
      <c r="B958" s="24"/>
      <c r="C958" s="24"/>
      <c r="D958" s="24"/>
      <c r="E958" s="58"/>
      <c r="F958" s="24"/>
      <c r="G958" s="24"/>
      <c r="H958" s="24"/>
      <c r="I958" s="61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>
      <c r="A959" s="24"/>
      <c r="B959" s="24"/>
      <c r="C959" s="24"/>
      <c r="D959" s="24"/>
      <c r="E959" s="58"/>
      <c r="F959" s="24"/>
      <c r="G959" s="24"/>
      <c r="H959" s="24"/>
      <c r="I959" s="61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>
      <c r="A960" s="24"/>
      <c r="B960" s="24"/>
      <c r="C960" s="24"/>
      <c r="D960" s="24"/>
      <c r="E960" s="58"/>
      <c r="F960" s="24"/>
      <c r="G960" s="24"/>
      <c r="H960" s="24"/>
      <c r="I960" s="61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>
      <c r="A961" s="24"/>
      <c r="B961" s="24"/>
      <c r="C961" s="24"/>
      <c r="D961" s="24"/>
      <c r="E961" s="58"/>
      <c r="F961" s="24"/>
      <c r="G961" s="24"/>
      <c r="H961" s="24"/>
      <c r="I961" s="61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>
      <c r="A962" s="24"/>
      <c r="B962" s="24"/>
      <c r="C962" s="24"/>
      <c r="D962" s="24"/>
      <c r="E962" s="58"/>
      <c r="F962" s="24"/>
      <c r="G962" s="24"/>
      <c r="H962" s="24"/>
      <c r="I962" s="61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>
      <c r="A963" s="24"/>
      <c r="B963" s="24"/>
      <c r="C963" s="24"/>
      <c r="D963" s="24"/>
      <c r="E963" s="58"/>
      <c r="F963" s="24"/>
      <c r="G963" s="24"/>
      <c r="H963" s="24"/>
      <c r="I963" s="61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>
      <c r="A964" s="24"/>
      <c r="B964" s="24"/>
      <c r="C964" s="24"/>
      <c r="D964" s="24"/>
      <c r="E964" s="58"/>
      <c r="F964" s="24"/>
      <c r="G964" s="24"/>
      <c r="H964" s="24"/>
      <c r="I964" s="61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>
      <c r="A965" s="24"/>
      <c r="B965" s="24"/>
      <c r="C965" s="24"/>
      <c r="D965" s="24"/>
      <c r="E965" s="58"/>
      <c r="F965" s="24"/>
      <c r="G965" s="24"/>
      <c r="H965" s="24"/>
      <c r="I965" s="61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>
      <c r="A966" s="24"/>
      <c r="B966" s="24"/>
      <c r="C966" s="24"/>
      <c r="D966" s="24"/>
      <c r="E966" s="58"/>
      <c r="F966" s="24"/>
      <c r="G966" s="24"/>
      <c r="H966" s="24"/>
      <c r="I966" s="61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>
      <c r="A967" s="24"/>
      <c r="B967" s="24"/>
      <c r="C967" s="24"/>
      <c r="D967" s="24"/>
      <c r="E967" s="58"/>
      <c r="F967" s="24"/>
      <c r="G967" s="24"/>
      <c r="H967" s="24"/>
      <c r="I967" s="61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>
      <c r="A968" s="24"/>
      <c r="B968" s="24"/>
      <c r="C968" s="24"/>
      <c r="D968" s="24"/>
      <c r="E968" s="58"/>
      <c r="F968" s="24"/>
      <c r="G968" s="24"/>
      <c r="H968" s="24"/>
      <c r="I968" s="61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>
      <c r="A969" s="24"/>
      <c r="B969" s="24"/>
      <c r="C969" s="24"/>
      <c r="D969" s="24"/>
      <c r="E969" s="58"/>
      <c r="F969" s="24"/>
      <c r="G969" s="24"/>
      <c r="H969" s="24"/>
      <c r="I969" s="61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>
      <c r="A970" s="24"/>
      <c r="B970" s="24"/>
      <c r="C970" s="24"/>
      <c r="D970" s="24"/>
      <c r="E970" s="58"/>
      <c r="F970" s="24"/>
      <c r="G970" s="24"/>
      <c r="H970" s="24"/>
      <c r="I970" s="61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>
      <c r="A971" s="24"/>
      <c r="B971" s="24"/>
      <c r="C971" s="24"/>
      <c r="D971" s="24"/>
      <c r="E971" s="58"/>
      <c r="F971" s="24"/>
      <c r="G971" s="24"/>
      <c r="H971" s="24"/>
      <c r="I971" s="61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>
      <c r="A972" s="24"/>
      <c r="B972" s="24"/>
      <c r="C972" s="24"/>
      <c r="D972" s="24"/>
      <c r="E972" s="58"/>
      <c r="F972" s="24"/>
      <c r="G972" s="24"/>
      <c r="H972" s="24"/>
      <c r="I972" s="61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>
      <c r="A973" s="24"/>
      <c r="B973" s="24"/>
      <c r="C973" s="24"/>
      <c r="D973" s="24"/>
      <c r="E973" s="58"/>
      <c r="F973" s="24"/>
      <c r="G973" s="24"/>
      <c r="H973" s="24"/>
      <c r="I973" s="61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>
      <c r="A974" s="24"/>
      <c r="B974" s="24"/>
      <c r="C974" s="24"/>
      <c r="D974" s="24"/>
      <c r="E974" s="58"/>
      <c r="F974" s="24"/>
      <c r="G974" s="24"/>
      <c r="H974" s="24"/>
      <c r="I974" s="61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>
      <c r="A975" s="24"/>
      <c r="B975" s="24"/>
      <c r="C975" s="24"/>
      <c r="D975" s="24"/>
      <c r="E975" s="58"/>
      <c r="F975" s="24"/>
      <c r="G975" s="24"/>
      <c r="H975" s="24"/>
      <c r="I975" s="61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>
      <c r="A976" s="24"/>
      <c r="B976" s="24"/>
      <c r="C976" s="24"/>
      <c r="D976" s="24"/>
      <c r="E976" s="58"/>
      <c r="F976" s="24"/>
      <c r="G976" s="24"/>
      <c r="H976" s="24"/>
      <c r="I976" s="61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>
      <c r="A977" s="24"/>
      <c r="B977" s="24"/>
      <c r="C977" s="24"/>
      <c r="D977" s="24"/>
      <c r="E977" s="58"/>
      <c r="F977" s="24"/>
      <c r="G977" s="24"/>
      <c r="H977" s="24"/>
      <c r="I977" s="61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>
      <c r="A978" s="24"/>
      <c r="B978" s="24"/>
      <c r="C978" s="24"/>
      <c r="D978" s="24"/>
      <c r="E978" s="58"/>
      <c r="F978" s="24"/>
      <c r="G978" s="24"/>
      <c r="H978" s="24"/>
      <c r="I978" s="61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>
      <c r="A979" s="24"/>
      <c r="B979" s="24"/>
      <c r="C979" s="24"/>
      <c r="D979" s="24"/>
      <c r="E979" s="58"/>
      <c r="F979" s="24"/>
      <c r="G979" s="24"/>
      <c r="H979" s="24"/>
      <c r="I979" s="61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>
      <c r="A980" s="24"/>
      <c r="B980" s="24"/>
      <c r="C980" s="24"/>
      <c r="D980" s="24"/>
      <c r="E980" s="58"/>
      <c r="F980" s="24"/>
      <c r="G980" s="24"/>
      <c r="H980" s="24"/>
      <c r="I980" s="61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>
      <c r="A981" s="24"/>
      <c r="B981" s="24"/>
      <c r="C981" s="24"/>
      <c r="D981" s="24"/>
      <c r="E981" s="58"/>
      <c r="F981" s="24"/>
      <c r="G981" s="24"/>
      <c r="H981" s="24"/>
      <c r="I981" s="61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>
      <c r="A982" s="24"/>
      <c r="B982" s="24"/>
      <c r="C982" s="24"/>
      <c r="D982" s="24"/>
      <c r="E982" s="58"/>
      <c r="F982" s="24"/>
      <c r="G982" s="24"/>
      <c r="H982" s="24"/>
      <c r="I982" s="61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>
      <c r="A983" s="24"/>
      <c r="B983" s="24"/>
      <c r="C983" s="24"/>
      <c r="D983" s="24"/>
      <c r="E983" s="58"/>
      <c r="F983" s="24"/>
      <c r="G983" s="24"/>
      <c r="H983" s="24"/>
      <c r="I983" s="61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>
      <c r="A984" s="24"/>
      <c r="B984" s="24"/>
      <c r="C984" s="24"/>
      <c r="D984" s="24"/>
      <c r="E984" s="58"/>
      <c r="F984" s="24"/>
      <c r="G984" s="24"/>
      <c r="H984" s="24"/>
      <c r="I984" s="61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>
      <c r="A985" s="24"/>
      <c r="B985" s="24"/>
      <c r="C985" s="24"/>
      <c r="D985" s="24"/>
      <c r="E985" s="58"/>
      <c r="F985" s="24"/>
      <c r="G985" s="24"/>
      <c r="H985" s="24"/>
      <c r="I985" s="61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>
      <c r="A986" s="24"/>
      <c r="B986" s="24"/>
      <c r="C986" s="24"/>
      <c r="D986" s="24"/>
      <c r="E986" s="58"/>
      <c r="F986" s="24"/>
      <c r="G986" s="24"/>
      <c r="H986" s="24"/>
      <c r="I986" s="61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>
      <c r="A987" s="24"/>
      <c r="B987" s="24"/>
      <c r="C987" s="24"/>
      <c r="D987" s="24"/>
      <c r="E987" s="58"/>
      <c r="F987" s="24"/>
      <c r="G987" s="24"/>
      <c r="H987" s="24"/>
      <c r="I987" s="61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>
      <c r="A988" s="24"/>
      <c r="B988" s="24"/>
      <c r="C988" s="24"/>
      <c r="D988" s="24"/>
      <c r="E988" s="58"/>
      <c r="F988" s="24"/>
      <c r="G988" s="24"/>
      <c r="H988" s="24"/>
      <c r="I988" s="61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>
      <c r="A989" s="24"/>
      <c r="B989" s="24"/>
      <c r="C989" s="24"/>
      <c r="D989" s="24"/>
      <c r="E989" s="58"/>
      <c r="F989" s="24"/>
      <c r="G989" s="24"/>
      <c r="H989" s="24"/>
      <c r="I989" s="61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>
      <c r="A990" s="24"/>
      <c r="B990" s="24"/>
      <c r="C990" s="24"/>
      <c r="D990" s="24"/>
      <c r="E990" s="58"/>
      <c r="F990" s="24"/>
      <c r="G990" s="24"/>
      <c r="H990" s="24"/>
      <c r="I990" s="61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>
      <c r="A991" s="24"/>
      <c r="B991" s="24"/>
      <c r="C991" s="24"/>
      <c r="D991" s="24"/>
      <c r="E991" s="58"/>
      <c r="F991" s="24"/>
      <c r="G991" s="24"/>
      <c r="H991" s="24"/>
      <c r="I991" s="61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>
      <c r="A992" s="24"/>
      <c r="B992" s="24"/>
      <c r="C992" s="24"/>
      <c r="D992" s="24"/>
      <c r="E992" s="58"/>
      <c r="F992" s="24"/>
      <c r="G992" s="24"/>
      <c r="H992" s="24"/>
      <c r="I992" s="61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>
      <c r="A993" s="24"/>
      <c r="B993" s="24"/>
      <c r="C993" s="24"/>
      <c r="D993" s="24"/>
      <c r="E993" s="58"/>
      <c r="F993" s="24"/>
      <c r="G993" s="24"/>
      <c r="H993" s="24"/>
      <c r="I993" s="61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>
      <c r="A994" s="24"/>
      <c r="B994" s="24"/>
      <c r="C994" s="24"/>
      <c r="D994" s="24"/>
      <c r="E994" s="58"/>
      <c r="F994" s="24"/>
      <c r="G994" s="24"/>
      <c r="H994" s="24"/>
      <c r="I994" s="61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>
      <c r="A995" s="24"/>
      <c r="B995" s="24"/>
      <c r="C995" s="24"/>
      <c r="D995" s="24"/>
      <c r="E995" s="58"/>
      <c r="F995" s="24"/>
      <c r="G995" s="24"/>
      <c r="H995" s="24"/>
      <c r="I995" s="61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>
      <c r="A996" s="24"/>
      <c r="B996" s="24"/>
      <c r="C996" s="24"/>
      <c r="D996" s="24"/>
      <c r="E996" s="58"/>
      <c r="F996" s="24"/>
      <c r="G996" s="24"/>
      <c r="H996" s="24"/>
      <c r="I996" s="61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>
      <c r="A997" s="24"/>
      <c r="B997" s="24"/>
      <c r="C997" s="24"/>
      <c r="D997" s="24"/>
      <c r="E997" s="58"/>
      <c r="F997" s="24"/>
      <c r="G997" s="24"/>
      <c r="H997" s="24"/>
      <c r="I997" s="61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>
      <c r="A998" s="24"/>
      <c r="B998" s="24"/>
      <c r="C998" s="24"/>
      <c r="D998" s="24"/>
      <c r="E998" s="58"/>
      <c r="F998" s="24"/>
      <c r="G998" s="24"/>
      <c r="H998" s="24"/>
      <c r="I998" s="61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>
      <c r="A999" s="24"/>
      <c r="B999" s="24"/>
      <c r="C999" s="24"/>
      <c r="D999" s="24"/>
      <c r="E999" s="58"/>
      <c r="F999" s="24"/>
      <c r="G999" s="24"/>
      <c r="H999" s="24"/>
      <c r="I999" s="61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>
      <c r="A1000" s="24"/>
      <c r="B1000" s="24"/>
      <c r="C1000" s="24"/>
      <c r="D1000" s="24"/>
      <c r="E1000" s="58"/>
      <c r="F1000" s="24"/>
      <c r="G1000" s="24"/>
      <c r="H1000" s="24"/>
      <c r="I1000" s="61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>
      <c r="A1001" s="24"/>
      <c r="B1001" s="24"/>
      <c r="C1001" s="24"/>
      <c r="D1001" s="24"/>
      <c r="E1001" s="58"/>
      <c r="F1001" s="24"/>
      <c r="G1001" s="24"/>
      <c r="H1001" s="24"/>
      <c r="I1001" s="61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  <row r="1002">
      <c r="A1002" s="24"/>
      <c r="B1002" s="24"/>
      <c r="C1002" s="24"/>
      <c r="D1002" s="24"/>
      <c r="E1002" s="58"/>
      <c r="F1002" s="24"/>
      <c r="G1002" s="24"/>
      <c r="H1002" s="24"/>
      <c r="I1002" s="61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</row>
  </sheetData>
  <autoFilter ref="$A$7:$J$80"/>
  <mergeCells count="47">
    <mergeCell ref="E8:E9"/>
    <mergeCell ref="F8:F9"/>
    <mergeCell ref="E10:E11"/>
    <mergeCell ref="F10:F11"/>
    <mergeCell ref="C8:C9"/>
    <mergeCell ref="D8:D9"/>
    <mergeCell ref="A10:A11"/>
    <mergeCell ref="B10:B11"/>
    <mergeCell ref="C10:C11"/>
    <mergeCell ref="D10:D11"/>
    <mergeCell ref="D12:D13"/>
    <mergeCell ref="G8:G9"/>
    <mergeCell ref="H8:H9"/>
    <mergeCell ref="G10:G11"/>
    <mergeCell ref="H10:H11"/>
    <mergeCell ref="I8:I9"/>
    <mergeCell ref="J8:J9"/>
    <mergeCell ref="I10:I11"/>
    <mergeCell ref="J10:J11"/>
    <mergeCell ref="L8:L9"/>
    <mergeCell ref="M8:M9"/>
    <mergeCell ref="L10:L11"/>
    <mergeCell ref="M10:M11"/>
    <mergeCell ref="N10:N11"/>
    <mergeCell ref="A1:A3"/>
    <mergeCell ref="B1:H3"/>
    <mergeCell ref="A4:J4"/>
    <mergeCell ref="M5:O5"/>
    <mergeCell ref="M6:O6"/>
    <mergeCell ref="A8:A9"/>
    <mergeCell ref="B8:B9"/>
    <mergeCell ref="N8:N9"/>
    <mergeCell ref="J12:J13"/>
    <mergeCell ref="L12:L13"/>
    <mergeCell ref="M12:M13"/>
    <mergeCell ref="N12:N13"/>
    <mergeCell ref="B12:B13"/>
    <mergeCell ref="C12:C13"/>
    <mergeCell ref="E12:E13"/>
    <mergeCell ref="F12:F13"/>
    <mergeCell ref="G12:G13"/>
    <mergeCell ref="H12:H13"/>
    <mergeCell ref="I12:I13"/>
    <mergeCell ref="A12:A13"/>
    <mergeCell ref="A21:A22"/>
    <mergeCell ref="B21:B22"/>
    <mergeCell ref="C21:C22"/>
  </mergeCells>
  <hyperlinks>
    <hyperlink r:id="rId1" ref="I8"/>
    <hyperlink r:id="rId2" ref="I10"/>
    <hyperlink r:id="rId3" ref="I12"/>
    <hyperlink r:id="rId4" ref="I14"/>
    <hyperlink r:id="rId5" ref="I15"/>
    <hyperlink r:id="rId6" ref="I16"/>
    <hyperlink r:id="rId7" ref="I17"/>
    <hyperlink r:id="rId8" ref="I18"/>
    <hyperlink r:id="rId9" ref="I19"/>
    <hyperlink r:id="rId10" ref="I20"/>
    <hyperlink r:id="rId11" ref="I21"/>
    <hyperlink r:id="rId12" ref="I22"/>
    <hyperlink r:id="rId13" ref="I23"/>
    <hyperlink r:id="rId14" ref="I24"/>
    <hyperlink r:id="rId15" ref="I25"/>
    <hyperlink r:id="rId16" ref="I26"/>
    <hyperlink r:id="rId17" ref="I27"/>
    <hyperlink r:id="rId18" ref="I28"/>
    <hyperlink r:id="rId19" ref="I29"/>
    <hyperlink r:id="rId20" ref="I30"/>
    <hyperlink r:id="rId21" ref="I31"/>
    <hyperlink r:id="rId22" ref="I32"/>
    <hyperlink r:id="rId23" ref="I33"/>
    <hyperlink r:id="rId24" ref="I34"/>
    <hyperlink r:id="rId25" ref="I35"/>
    <hyperlink r:id="rId26" ref="I36"/>
    <hyperlink r:id="rId27" ref="I37"/>
    <hyperlink r:id="rId28" ref="I38"/>
    <hyperlink r:id="rId29" ref="I39"/>
    <hyperlink r:id="rId30" ref="I40"/>
    <hyperlink r:id="rId31" ref="I41"/>
    <hyperlink r:id="rId32" ref="I42"/>
    <hyperlink r:id="rId33" ref="I43"/>
    <hyperlink r:id="rId34" ref="I44"/>
    <hyperlink r:id="rId35" ref="I45"/>
    <hyperlink r:id="rId36" ref="I46"/>
    <hyperlink r:id="rId37" ref="I47"/>
    <hyperlink r:id="rId38" ref="I48"/>
    <hyperlink r:id="rId39" ref="I49"/>
    <hyperlink r:id="rId40" ref="I50"/>
    <hyperlink r:id="rId41" ref="I51"/>
    <hyperlink r:id="rId42" ref="I53"/>
    <hyperlink r:id="rId43" ref="I54"/>
    <hyperlink r:id="rId44" ref="I55"/>
    <hyperlink r:id="rId45" ref="I56"/>
    <hyperlink r:id="rId46" ref="I57"/>
    <hyperlink r:id="rId47" ref="I58"/>
    <hyperlink r:id="rId48" ref="I59"/>
    <hyperlink r:id="rId49" ref="I60"/>
    <hyperlink r:id="rId50" ref="I61"/>
    <hyperlink r:id="rId51" ref="I62"/>
    <hyperlink r:id="rId52" ref="I63"/>
    <hyperlink r:id="rId53" ref="I64"/>
    <hyperlink r:id="rId54" ref="I65"/>
    <hyperlink r:id="rId55" ref="I66"/>
    <hyperlink r:id="rId56" ref="I67"/>
    <hyperlink r:id="rId57" ref="I68"/>
    <hyperlink r:id="rId58" ref="I69"/>
    <hyperlink r:id="rId59" ref="I70"/>
    <hyperlink r:id="rId60" ref="I74"/>
    <hyperlink r:id="rId61" ref="I75"/>
    <hyperlink r:id="rId62" ref="I76"/>
    <hyperlink r:id="rId63" ref="I77"/>
    <hyperlink r:id="rId64" ref="I7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28.0"/>
    <col customWidth="1" min="2" max="2" width="52.86"/>
    <col customWidth="1" min="3" max="3" width="32.71"/>
    <col customWidth="1" min="4" max="4" width="20.43"/>
    <col customWidth="1" min="5" max="5" width="20.29"/>
    <col customWidth="1" min="6" max="6" width="60.29"/>
    <col customWidth="1" min="9" max="9" width="24.57"/>
    <col customWidth="1" min="10" max="10" width="20.86"/>
  </cols>
  <sheetData>
    <row r="2">
      <c r="A2" s="1"/>
      <c r="B2" s="2" t="s">
        <v>1</v>
      </c>
      <c r="C2" s="1"/>
      <c r="D2" s="1"/>
      <c r="E2" s="1"/>
      <c r="F2" s="1"/>
    </row>
    <row r="3">
      <c r="A3" s="5" t="s">
        <v>3</v>
      </c>
      <c r="B3" s="8" t="s">
        <v>5</v>
      </c>
      <c r="C3" s="8" t="s">
        <v>8</v>
      </c>
      <c r="D3" s="9" t="s">
        <v>10</v>
      </c>
      <c r="E3" s="9" t="s">
        <v>11</v>
      </c>
      <c r="F3" s="9" t="s">
        <v>12</v>
      </c>
      <c r="G3" s="12" t="s">
        <v>14</v>
      </c>
      <c r="H3" s="15" t="s">
        <v>16</v>
      </c>
      <c r="I3" s="15" t="s">
        <v>20</v>
      </c>
      <c r="J3" s="15" t="s">
        <v>21</v>
      </c>
    </row>
    <row r="4">
      <c r="A4" s="1" t="s">
        <v>24</v>
      </c>
      <c r="B4" s="19" t="s">
        <v>26</v>
      </c>
      <c r="C4" s="19" t="s">
        <v>28</v>
      </c>
      <c r="D4" s="23">
        <v>45670.0</v>
      </c>
      <c r="E4" s="23">
        <v>46035.0</v>
      </c>
      <c r="F4" s="25" t="s">
        <v>35</v>
      </c>
      <c r="G4" s="28">
        <f t="shared" ref="G4:G15" si="1">E4-TODAY()</f>
        <v>-202</v>
      </c>
      <c r="H4" s="28" t="b">
        <v>0</v>
      </c>
    </row>
    <row r="5">
      <c r="A5" s="1" t="s">
        <v>51</v>
      </c>
      <c r="B5" s="29" t="s">
        <v>53</v>
      </c>
      <c r="C5" s="29" t="s">
        <v>54</v>
      </c>
      <c r="D5" s="31">
        <v>45818.0</v>
      </c>
      <c r="E5" s="33">
        <v>46183.0</v>
      </c>
      <c r="F5" s="34" t="s">
        <v>56</v>
      </c>
      <c r="G5" s="28">
        <f t="shared" si="1"/>
        <v>-54</v>
      </c>
      <c r="H5" s="28" t="b">
        <v>0</v>
      </c>
    </row>
    <row r="6">
      <c r="A6" s="1" t="s">
        <v>13</v>
      </c>
      <c r="B6" s="37" t="s">
        <v>36</v>
      </c>
      <c r="C6" s="37" t="s">
        <v>37</v>
      </c>
      <c r="D6" s="39">
        <v>45839.0</v>
      </c>
      <c r="E6" s="33">
        <v>46204.0</v>
      </c>
      <c r="F6" s="37" t="s">
        <v>40</v>
      </c>
      <c r="G6" s="28">
        <f t="shared" si="1"/>
        <v>-33</v>
      </c>
      <c r="H6" s="28" t="b">
        <v>0</v>
      </c>
    </row>
    <row r="7">
      <c r="A7" s="1" t="s">
        <v>13</v>
      </c>
      <c r="B7" s="29" t="s">
        <v>45</v>
      </c>
      <c r="C7" s="29" t="s">
        <v>46</v>
      </c>
      <c r="D7" s="43">
        <v>45898.0</v>
      </c>
      <c r="E7" s="44">
        <v>46263.0</v>
      </c>
      <c r="F7" s="29" t="s">
        <v>50</v>
      </c>
      <c r="G7" s="28">
        <f t="shared" si="1"/>
        <v>26</v>
      </c>
      <c r="H7" s="28" t="b">
        <v>0</v>
      </c>
    </row>
    <row r="8">
      <c r="A8" s="1" t="s">
        <v>24</v>
      </c>
      <c r="B8" s="37" t="s">
        <v>26</v>
      </c>
      <c r="C8" s="37" t="s">
        <v>65</v>
      </c>
      <c r="D8" s="48">
        <v>45901.0</v>
      </c>
      <c r="E8" s="48">
        <v>46266.0</v>
      </c>
      <c r="F8" s="37" t="s">
        <v>56</v>
      </c>
      <c r="G8" s="28">
        <f t="shared" si="1"/>
        <v>29</v>
      </c>
      <c r="H8" s="52" t="b">
        <v>1</v>
      </c>
    </row>
    <row r="9">
      <c r="A9" s="1" t="s">
        <v>68</v>
      </c>
      <c r="B9" s="54" t="s">
        <v>69</v>
      </c>
      <c r="C9" s="54" t="s">
        <v>71</v>
      </c>
      <c r="D9" s="55">
        <v>45948.0</v>
      </c>
      <c r="E9" s="55">
        <v>46312.0</v>
      </c>
      <c r="F9" s="54" t="s">
        <v>56</v>
      </c>
      <c r="G9" s="28">
        <f t="shared" si="1"/>
        <v>75</v>
      </c>
      <c r="H9" s="28" t="b">
        <v>0</v>
      </c>
    </row>
    <row r="10">
      <c r="A10" s="1" t="s">
        <v>68</v>
      </c>
      <c r="B10" s="37" t="s">
        <v>75</v>
      </c>
      <c r="C10" s="37" t="s">
        <v>71</v>
      </c>
      <c r="D10" s="48">
        <v>45952.0</v>
      </c>
      <c r="E10" s="48">
        <v>46312.0</v>
      </c>
      <c r="F10" s="37" t="s">
        <v>56</v>
      </c>
      <c r="G10" s="28">
        <f t="shared" si="1"/>
        <v>75</v>
      </c>
      <c r="H10" s="28" t="b">
        <v>0</v>
      </c>
    </row>
    <row r="11">
      <c r="A11" s="59" t="s">
        <v>78</v>
      </c>
      <c r="B11" s="34" t="s">
        <v>79</v>
      </c>
      <c r="C11" s="34" t="s">
        <v>81</v>
      </c>
      <c r="D11" s="60">
        <v>45948.0</v>
      </c>
      <c r="E11" s="60">
        <v>46313.0</v>
      </c>
      <c r="F11" s="34" t="s">
        <v>56</v>
      </c>
      <c r="G11" s="28">
        <f t="shared" si="1"/>
        <v>76</v>
      </c>
      <c r="H11" s="52" t="b">
        <v>1</v>
      </c>
    </row>
    <row r="12">
      <c r="A12" s="34" t="s">
        <v>13</v>
      </c>
      <c r="B12" s="62" t="s">
        <v>87</v>
      </c>
      <c r="C12" s="62" t="s">
        <v>89</v>
      </c>
      <c r="D12" s="63">
        <v>45968.0</v>
      </c>
      <c r="E12" s="63">
        <v>46333.0</v>
      </c>
      <c r="F12" s="62" t="s">
        <v>91</v>
      </c>
      <c r="G12" s="28">
        <f t="shared" si="1"/>
        <v>96</v>
      </c>
      <c r="H12" s="28" t="b">
        <v>0</v>
      </c>
    </row>
    <row r="13">
      <c r="A13" s="1" t="s">
        <v>13</v>
      </c>
      <c r="B13" s="29" t="s">
        <v>29</v>
      </c>
      <c r="C13" s="29" t="s">
        <v>30</v>
      </c>
      <c r="D13" s="31">
        <v>45685.0</v>
      </c>
      <c r="E13" s="31">
        <v>46415.0</v>
      </c>
      <c r="F13" s="29" t="s">
        <v>33</v>
      </c>
      <c r="G13" s="28">
        <f t="shared" si="1"/>
        <v>178</v>
      </c>
      <c r="H13" s="52" t="b">
        <v>1</v>
      </c>
    </row>
    <row r="14">
      <c r="A14" s="1" t="s">
        <v>72</v>
      </c>
      <c r="B14" s="37" t="s">
        <v>82</v>
      </c>
      <c r="C14" s="37" t="s">
        <v>83</v>
      </c>
      <c r="D14" s="39">
        <v>45797.0</v>
      </c>
      <c r="E14" s="39">
        <v>46527.0</v>
      </c>
      <c r="F14" s="37" t="s">
        <v>86</v>
      </c>
      <c r="G14" s="28">
        <f t="shared" si="1"/>
        <v>290</v>
      </c>
      <c r="H14" s="28" t="b">
        <v>0</v>
      </c>
    </row>
    <row r="15">
      <c r="A15" s="1" t="s">
        <v>51</v>
      </c>
      <c r="B15" s="29" t="s">
        <v>99</v>
      </c>
      <c r="C15" s="29" t="s">
        <v>100</v>
      </c>
      <c r="D15" s="43">
        <v>45909.0</v>
      </c>
      <c r="E15" s="43">
        <v>46639.0</v>
      </c>
      <c r="F15" s="29" t="s">
        <v>56</v>
      </c>
      <c r="G15" s="28">
        <f t="shared" si="1"/>
        <v>402</v>
      </c>
      <c r="H15" s="52" t="b">
        <v>1</v>
      </c>
    </row>
    <row r="16">
      <c r="A16" s="1" t="s">
        <v>102</v>
      </c>
      <c r="B16" s="37" t="s">
        <v>103</v>
      </c>
      <c r="C16" s="37" t="s">
        <v>37</v>
      </c>
      <c r="D16" s="39">
        <v>45839.0</v>
      </c>
      <c r="E16" s="39">
        <v>46204.0</v>
      </c>
      <c r="F16" s="62" t="s">
        <v>105</v>
      </c>
      <c r="G16" s="28"/>
      <c r="H16" s="28" t="b">
        <v>0</v>
      </c>
    </row>
    <row r="17">
      <c r="A17" s="75" t="s">
        <v>107</v>
      </c>
      <c r="B17" s="77" t="s">
        <v>109</v>
      </c>
      <c r="C17" s="77" t="s">
        <v>110</v>
      </c>
      <c r="D17" s="80">
        <v>45979.0</v>
      </c>
      <c r="E17" s="82" t="s">
        <v>112</v>
      </c>
      <c r="F17" s="77" t="s">
        <v>56</v>
      </c>
      <c r="G17" s="84"/>
      <c r="H17" s="84" t="b">
        <v>0</v>
      </c>
      <c r="I17" s="75"/>
      <c r="J17" s="75"/>
    </row>
    <row r="18">
      <c r="A18" s="86" t="s">
        <v>122</v>
      </c>
      <c r="B18" s="87" t="s">
        <v>124</v>
      </c>
      <c r="C18" s="87" t="s">
        <v>125</v>
      </c>
      <c r="D18" s="89">
        <v>2024.0</v>
      </c>
      <c r="E18" s="89" t="s">
        <v>112</v>
      </c>
      <c r="F18" s="87" t="s">
        <v>127</v>
      </c>
      <c r="G18" s="28"/>
      <c r="H18" s="28" t="b">
        <v>0</v>
      </c>
    </row>
    <row r="19">
      <c r="A19" s="59" t="s">
        <v>129</v>
      </c>
      <c r="B19" s="25" t="s">
        <v>130</v>
      </c>
      <c r="C19" s="25" t="s">
        <v>132</v>
      </c>
      <c r="D19" s="91">
        <v>46024.0</v>
      </c>
      <c r="E19" s="91">
        <v>46054.0</v>
      </c>
      <c r="F19" s="25" t="s">
        <v>135</v>
      </c>
      <c r="G19" s="28">
        <f t="shared" ref="G19:G21" si="2">E19-TODAY()</f>
        <v>-183</v>
      </c>
      <c r="H19" s="28" t="b">
        <v>0</v>
      </c>
    </row>
    <row r="20">
      <c r="A20" s="86" t="s">
        <v>68</v>
      </c>
      <c r="B20" s="86" t="s">
        <v>143</v>
      </c>
      <c r="C20" s="86" t="s">
        <v>145</v>
      </c>
      <c r="D20" s="94">
        <v>46015.0</v>
      </c>
      <c r="E20" s="94">
        <v>46379.0</v>
      </c>
      <c r="F20" s="86" t="s">
        <v>56</v>
      </c>
      <c r="G20" s="28">
        <f t="shared" si="2"/>
        <v>142</v>
      </c>
      <c r="H20" s="28" t="b">
        <v>0</v>
      </c>
    </row>
    <row r="21">
      <c r="A21" s="86" t="s">
        <v>148</v>
      </c>
      <c r="B21" s="87" t="s">
        <v>149</v>
      </c>
      <c r="C21" s="87" t="s">
        <v>151</v>
      </c>
      <c r="D21" s="91">
        <v>45778.0</v>
      </c>
      <c r="E21" s="91">
        <v>46143.0</v>
      </c>
      <c r="F21" s="87" t="s">
        <v>56</v>
      </c>
      <c r="G21" s="28">
        <f t="shared" si="2"/>
        <v>-94</v>
      </c>
      <c r="H21" s="28" t="b">
        <v>0</v>
      </c>
    </row>
    <row r="22">
      <c r="A22" s="56" t="s">
        <v>153</v>
      </c>
      <c r="B22" s="56" t="s">
        <v>154</v>
      </c>
      <c r="C22" s="56" t="s">
        <v>155</v>
      </c>
      <c r="D22" s="99">
        <v>46002.0</v>
      </c>
      <c r="E22" s="100" t="s">
        <v>157</v>
      </c>
      <c r="F22" s="56" t="s">
        <v>158</v>
      </c>
      <c r="G22" s="96"/>
      <c r="H22" s="96" t="b">
        <v>0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56" t="s">
        <v>159</v>
      </c>
      <c r="B23" s="92" t="s">
        <v>160</v>
      </c>
      <c r="C23" s="92" t="s">
        <v>161</v>
      </c>
      <c r="D23" s="101">
        <v>46042.0</v>
      </c>
      <c r="E23" s="101">
        <v>46222.0</v>
      </c>
      <c r="F23" s="92" t="s">
        <v>56</v>
      </c>
      <c r="G23" s="28">
        <f>E23-TODAY()</f>
        <v>-15</v>
      </c>
      <c r="H23" s="28" t="b">
        <v>0</v>
      </c>
    </row>
    <row r="24">
      <c r="A24" s="86" t="s">
        <v>148</v>
      </c>
      <c r="B24" s="86" t="s">
        <v>163</v>
      </c>
      <c r="C24" s="86" t="s">
        <v>151</v>
      </c>
      <c r="D24" s="105"/>
      <c r="E24" s="105"/>
      <c r="F24" s="107" t="s">
        <v>168</v>
      </c>
      <c r="G24" s="28"/>
      <c r="H24" s="28" t="b">
        <v>0</v>
      </c>
    </row>
    <row r="25">
      <c r="A25" s="86" t="s">
        <v>171</v>
      </c>
      <c r="B25" s="109" t="s">
        <v>173</v>
      </c>
      <c r="C25" s="109" t="s">
        <v>177</v>
      </c>
      <c r="D25" s="101"/>
      <c r="E25" s="101"/>
      <c r="F25" s="107" t="s">
        <v>180</v>
      </c>
      <c r="G25" s="28"/>
      <c r="H25" s="28" t="b">
        <v>0</v>
      </c>
    </row>
    <row r="26">
      <c r="A26" s="86" t="s">
        <v>183</v>
      </c>
      <c r="B26" s="87" t="s">
        <v>184</v>
      </c>
      <c r="C26" s="87" t="s">
        <v>185</v>
      </c>
      <c r="D26" s="112">
        <v>46084.0</v>
      </c>
      <c r="E26" s="112">
        <v>46094.0</v>
      </c>
      <c r="F26" s="87" t="s">
        <v>189</v>
      </c>
      <c r="G26" s="28">
        <f t="shared" ref="G26:G27" si="3">E26-TODAY()</f>
        <v>-143</v>
      </c>
      <c r="H26" s="52" t="b">
        <v>1</v>
      </c>
    </row>
    <row r="27">
      <c r="A27" s="86" t="s">
        <v>193</v>
      </c>
      <c r="B27" s="109" t="s">
        <v>194</v>
      </c>
      <c r="C27" s="109" t="s">
        <v>195</v>
      </c>
      <c r="D27" s="114">
        <v>46054.0</v>
      </c>
      <c r="E27" s="115">
        <v>46174.0</v>
      </c>
      <c r="F27" s="109" t="s">
        <v>56</v>
      </c>
      <c r="G27" s="28">
        <f t="shared" si="3"/>
        <v>-63</v>
      </c>
      <c r="H27" s="52" t="b">
        <v>1</v>
      </c>
    </row>
    <row r="28">
      <c r="A28" s="86" t="s">
        <v>201</v>
      </c>
      <c r="B28" s="87" t="s">
        <v>202</v>
      </c>
      <c r="C28" s="87" t="s">
        <v>203</v>
      </c>
      <c r="D28" s="118">
        <v>46092.0</v>
      </c>
      <c r="E28" s="89" t="s">
        <v>206</v>
      </c>
      <c r="F28" s="87" t="s">
        <v>207</v>
      </c>
      <c r="G28" s="28"/>
      <c r="H28" s="52" t="b">
        <v>1</v>
      </c>
    </row>
    <row r="29">
      <c r="A29" s="86" t="s">
        <v>209</v>
      </c>
      <c r="B29" s="87" t="s">
        <v>211</v>
      </c>
      <c r="C29" s="87" t="s">
        <v>212</v>
      </c>
      <c r="D29" s="123">
        <v>46023.0</v>
      </c>
      <c r="E29" s="118">
        <v>46112.0</v>
      </c>
      <c r="F29" s="87" t="s">
        <v>189</v>
      </c>
      <c r="G29" s="28"/>
      <c r="H29" s="28" t="b">
        <v>0</v>
      </c>
    </row>
    <row r="30">
      <c r="A30" s="86" t="s">
        <v>201</v>
      </c>
      <c r="B30" s="87" t="s">
        <v>215</v>
      </c>
      <c r="C30" s="87" t="s">
        <v>216</v>
      </c>
      <c r="D30" s="123">
        <v>46112.0</v>
      </c>
      <c r="E30" s="89" t="s">
        <v>218</v>
      </c>
      <c r="F30" s="87" t="s">
        <v>219</v>
      </c>
      <c r="G30" s="28"/>
      <c r="H30" s="52" t="b">
        <v>1</v>
      </c>
    </row>
    <row r="31">
      <c r="A31" s="86" t="s">
        <v>222</v>
      </c>
      <c r="B31" s="109" t="s">
        <v>223</v>
      </c>
      <c r="C31" s="109" t="s">
        <v>225</v>
      </c>
      <c r="D31" s="125">
        <v>46024.0</v>
      </c>
      <c r="E31" s="127">
        <v>46388.0</v>
      </c>
      <c r="F31" s="128"/>
      <c r="G31" s="28">
        <f t="shared" ref="G31:G33" si="4">E31-TODAY()</f>
        <v>151</v>
      </c>
      <c r="H31" s="52" t="b">
        <v>1</v>
      </c>
    </row>
    <row r="32">
      <c r="A32" s="86" t="s">
        <v>222</v>
      </c>
      <c r="B32" s="86" t="s">
        <v>229</v>
      </c>
      <c r="C32" s="86" t="s">
        <v>231</v>
      </c>
      <c r="D32" s="129">
        <v>46174.0</v>
      </c>
      <c r="E32" s="129">
        <v>46538.0</v>
      </c>
      <c r="F32" s="107" t="s">
        <v>232</v>
      </c>
      <c r="G32" s="28">
        <f t="shared" si="4"/>
        <v>301</v>
      </c>
      <c r="H32" s="28" t="b">
        <v>0</v>
      </c>
    </row>
    <row r="33">
      <c r="A33" s="86" t="s">
        <v>13</v>
      </c>
      <c r="B33" s="109" t="s">
        <v>234</v>
      </c>
      <c r="C33" s="109" t="s">
        <v>235</v>
      </c>
      <c r="D33" s="127">
        <v>45685.0</v>
      </c>
      <c r="E33" s="127">
        <v>46415.0</v>
      </c>
      <c r="F33" s="128"/>
      <c r="G33" s="28">
        <f t="shared" si="4"/>
        <v>178</v>
      </c>
      <c r="H33" s="52" t="b">
        <v>1</v>
      </c>
    </row>
    <row r="34">
      <c r="A34" s="86" t="s">
        <v>238</v>
      </c>
      <c r="B34" s="86" t="s">
        <v>240</v>
      </c>
      <c r="C34" s="86" t="s">
        <v>242</v>
      </c>
      <c r="D34" s="133"/>
      <c r="E34" s="133"/>
      <c r="F34" s="107" t="s">
        <v>245</v>
      </c>
      <c r="G34" s="28"/>
      <c r="H34" s="52" t="b">
        <v>1</v>
      </c>
      <c r="I34" s="86"/>
      <c r="J34" s="86"/>
    </row>
    <row r="35">
      <c r="A35" s="86" t="s">
        <v>248</v>
      </c>
      <c r="B35" s="109" t="s">
        <v>249</v>
      </c>
      <c r="C35" s="109" t="s">
        <v>250</v>
      </c>
      <c r="D35" s="137"/>
      <c r="E35" s="137"/>
      <c r="F35" s="107" t="s">
        <v>251</v>
      </c>
      <c r="G35" s="28"/>
      <c r="H35" s="52" t="b">
        <v>0</v>
      </c>
    </row>
    <row r="36">
      <c r="A36" s="86" t="s">
        <v>252</v>
      </c>
      <c r="B36" s="86" t="s">
        <v>254</v>
      </c>
      <c r="C36" s="86" t="s">
        <v>255</v>
      </c>
      <c r="D36" s="133"/>
      <c r="E36" s="133"/>
      <c r="F36" s="107" t="s">
        <v>251</v>
      </c>
      <c r="G36" s="28"/>
      <c r="H36" s="52" t="b">
        <v>0</v>
      </c>
    </row>
    <row r="37">
      <c r="A37" s="86" t="s">
        <v>257</v>
      </c>
      <c r="B37" s="109" t="s">
        <v>258</v>
      </c>
      <c r="C37" s="109" t="s">
        <v>145</v>
      </c>
      <c r="D37" s="137"/>
      <c r="E37" s="137"/>
      <c r="F37" s="107" t="s">
        <v>261</v>
      </c>
      <c r="G37" s="28"/>
      <c r="H37" s="52" t="b">
        <v>0</v>
      </c>
    </row>
    <row r="38">
      <c r="A38" s="86" t="s">
        <v>264</v>
      </c>
      <c r="B38" s="86" t="s">
        <v>265</v>
      </c>
      <c r="C38" s="86" t="s">
        <v>266</v>
      </c>
      <c r="D38" s="129">
        <v>46143.0</v>
      </c>
      <c r="E38" s="129">
        <v>46508.0</v>
      </c>
      <c r="F38" s="86" t="s">
        <v>269</v>
      </c>
      <c r="G38" s="28">
        <f>E38-TODAY()</f>
        <v>271</v>
      </c>
      <c r="H38" s="52" t="b">
        <v>1</v>
      </c>
      <c r="I38" s="145" t="s">
        <v>272</v>
      </c>
      <c r="J38" s="146"/>
    </row>
    <row r="39">
      <c r="A39" s="86" t="s">
        <v>209</v>
      </c>
      <c r="B39" s="109" t="s">
        <v>280</v>
      </c>
      <c r="C39" s="109" t="s">
        <v>281</v>
      </c>
      <c r="D39" s="137"/>
      <c r="E39" s="137"/>
      <c r="F39" s="107" t="s">
        <v>285</v>
      </c>
      <c r="G39" s="28"/>
      <c r="H39" s="52" t="b">
        <v>0</v>
      </c>
    </row>
    <row r="40">
      <c r="A40" s="86" t="s">
        <v>290</v>
      </c>
      <c r="B40" s="86" t="s">
        <v>291</v>
      </c>
      <c r="C40" s="86" t="s">
        <v>293</v>
      </c>
      <c r="D40" s="129">
        <v>46149.0</v>
      </c>
      <c r="E40" s="129">
        <v>46514.0</v>
      </c>
      <c r="F40" s="86" t="s">
        <v>56</v>
      </c>
      <c r="G40" s="28">
        <f>E40-TODAY()</f>
        <v>277</v>
      </c>
      <c r="H40" s="52" t="b">
        <v>0</v>
      </c>
    </row>
    <row r="41">
      <c r="A41" s="86" t="s">
        <v>129</v>
      </c>
      <c r="B41" s="109" t="s">
        <v>295</v>
      </c>
      <c r="C41" s="109" t="s">
        <v>297</v>
      </c>
      <c r="D41" s="137"/>
      <c r="E41" s="137"/>
      <c r="F41" s="107" t="s">
        <v>251</v>
      </c>
      <c r="G41" s="28"/>
      <c r="H41" s="52" t="b">
        <v>0</v>
      </c>
    </row>
    <row r="42">
      <c r="A42" s="86" t="s">
        <v>148</v>
      </c>
      <c r="B42" s="86" t="s">
        <v>303</v>
      </c>
      <c r="C42" s="86" t="s">
        <v>305</v>
      </c>
      <c r="D42" s="152">
        <v>46165.0</v>
      </c>
      <c r="E42" s="152">
        <v>46538.0</v>
      </c>
      <c r="F42" s="86" t="s">
        <v>56</v>
      </c>
      <c r="G42" s="28">
        <f t="shared" ref="G42:G48" si="5">E42-TODAY()</f>
        <v>301</v>
      </c>
      <c r="H42" s="52" t="b">
        <v>0</v>
      </c>
      <c r="I42" s="86"/>
    </row>
    <row r="43">
      <c r="A43" s="86" t="s">
        <v>309</v>
      </c>
      <c r="B43" s="109" t="s">
        <v>310</v>
      </c>
      <c r="C43" s="109" t="s">
        <v>293</v>
      </c>
      <c r="D43" s="125">
        <v>46149.0</v>
      </c>
      <c r="E43" s="125">
        <v>46514.0</v>
      </c>
      <c r="F43" s="109" t="s">
        <v>56</v>
      </c>
      <c r="G43" s="28">
        <f t="shared" si="5"/>
        <v>277</v>
      </c>
      <c r="H43" s="52" t="b">
        <v>0</v>
      </c>
      <c r="I43" s="86" t="s">
        <v>315</v>
      </c>
    </row>
    <row r="44">
      <c r="A44" s="86" t="s">
        <v>317</v>
      </c>
      <c r="B44" s="86" t="s">
        <v>319</v>
      </c>
      <c r="C44" s="86" t="s">
        <v>320</v>
      </c>
      <c r="D44" s="129">
        <v>46174.0</v>
      </c>
      <c r="E44" s="152">
        <v>46538.0</v>
      </c>
      <c r="F44" s="86" t="s">
        <v>56</v>
      </c>
      <c r="G44" s="28">
        <f t="shared" si="5"/>
        <v>301</v>
      </c>
      <c r="H44" s="52" t="b">
        <v>0</v>
      </c>
    </row>
    <row r="45">
      <c r="A45" s="86" t="s">
        <v>322</v>
      </c>
      <c r="B45" s="109" t="s">
        <v>323</v>
      </c>
      <c r="C45" s="109" t="s">
        <v>324</v>
      </c>
      <c r="D45" s="125">
        <v>46182.0</v>
      </c>
      <c r="E45" s="125">
        <v>46209.0</v>
      </c>
      <c r="F45" s="109" t="s">
        <v>56</v>
      </c>
      <c r="G45" s="28">
        <f t="shared" si="5"/>
        <v>-28</v>
      </c>
      <c r="H45" s="52" t="b">
        <v>0</v>
      </c>
    </row>
    <row r="46">
      <c r="A46" s="86" t="s">
        <v>330</v>
      </c>
      <c r="B46" s="86" t="s">
        <v>331</v>
      </c>
      <c r="C46" s="86" t="s">
        <v>332</v>
      </c>
      <c r="D46" s="152">
        <v>46202.0</v>
      </c>
      <c r="E46" s="152">
        <v>46567.0</v>
      </c>
      <c r="F46" s="86" t="s">
        <v>56</v>
      </c>
      <c r="G46" s="28">
        <f t="shared" si="5"/>
        <v>330</v>
      </c>
      <c r="H46" s="52" t="b">
        <v>0</v>
      </c>
    </row>
    <row r="47">
      <c r="A47" s="86" t="s">
        <v>337</v>
      </c>
      <c r="B47" s="109" t="s">
        <v>339</v>
      </c>
      <c r="C47" s="109" t="s">
        <v>341</v>
      </c>
      <c r="D47" s="166">
        <v>46174.0</v>
      </c>
      <c r="E47" s="166">
        <v>46539.0</v>
      </c>
      <c r="F47" s="109" t="s">
        <v>56</v>
      </c>
      <c r="G47" s="28">
        <f t="shared" si="5"/>
        <v>302</v>
      </c>
      <c r="H47" s="52" t="b">
        <v>0</v>
      </c>
    </row>
    <row r="48">
      <c r="A48" s="86" t="s">
        <v>347</v>
      </c>
      <c r="B48" s="86" t="s">
        <v>349</v>
      </c>
      <c r="C48" s="86" t="s">
        <v>350</v>
      </c>
      <c r="D48" s="129">
        <v>46211.0</v>
      </c>
      <c r="E48" s="129">
        <v>46941.0</v>
      </c>
      <c r="F48" s="86" t="s">
        <v>354</v>
      </c>
      <c r="G48" s="28">
        <f t="shared" si="5"/>
        <v>704</v>
      </c>
      <c r="H48" s="52" t="b">
        <v>0</v>
      </c>
    </row>
    <row r="49">
      <c r="A49" s="86" t="s">
        <v>209</v>
      </c>
      <c r="B49" s="109" t="s">
        <v>357</v>
      </c>
      <c r="C49" s="109" t="s">
        <v>212</v>
      </c>
      <c r="D49" s="128"/>
      <c r="E49" s="128"/>
      <c r="F49" s="107" t="s">
        <v>361</v>
      </c>
      <c r="G49" s="28"/>
      <c r="H49" s="52" t="b">
        <v>0</v>
      </c>
    </row>
    <row r="50">
      <c r="A50" s="86" t="s">
        <v>364</v>
      </c>
      <c r="B50" s="86" t="s">
        <v>366</v>
      </c>
      <c r="C50" s="86" t="s">
        <v>368</v>
      </c>
      <c r="G50" s="28"/>
      <c r="H50" s="52" t="b">
        <v>0</v>
      </c>
    </row>
    <row r="51">
      <c r="A51" s="86" t="s">
        <v>372</v>
      </c>
      <c r="B51" s="109" t="s">
        <v>374</v>
      </c>
      <c r="C51" s="128"/>
      <c r="D51" s="109" t="s">
        <v>376</v>
      </c>
      <c r="E51" s="175" t="s">
        <v>378</v>
      </c>
      <c r="F51" s="128"/>
      <c r="G51" s="28"/>
      <c r="H51" s="52" t="b">
        <v>0</v>
      </c>
    </row>
    <row r="52">
      <c r="A52" s="86" t="s">
        <v>383</v>
      </c>
      <c r="B52" s="86" t="s">
        <v>384</v>
      </c>
      <c r="C52" s="86" t="s">
        <v>385</v>
      </c>
      <c r="D52" s="152">
        <v>46216.0</v>
      </c>
      <c r="E52" s="152">
        <v>46308.0</v>
      </c>
      <c r="G52" s="28">
        <f>E52-TODAY()</f>
        <v>71</v>
      </c>
      <c r="H52" s="52" t="b">
        <v>0</v>
      </c>
    </row>
    <row r="53">
      <c r="B53" s="86" t="s">
        <v>393</v>
      </c>
    </row>
  </sheetData>
  <autoFilter ref="$A$3:$J$53"/>
  <hyperlinks>
    <hyperlink r:id="rId2" ref="I38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63.86"/>
    <col customWidth="1" min="3" max="4" width="34.0"/>
    <col customWidth="1" min="5" max="5" width="26.43"/>
    <col customWidth="1" min="6" max="6" width="27.43"/>
    <col customWidth="1" min="7" max="7" width="40.14"/>
    <col customWidth="1" min="8" max="8" width="21.14"/>
    <col customWidth="1" min="9" max="9" width="17.0"/>
    <col customWidth="1" min="10" max="11" width="24.71"/>
    <col customWidth="1" min="12" max="27" width="34.0"/>
  </cols>
  <sheetData>
    <row r="1">
      <c r="C1" s="148"/>
      <c r="G1" s="148"/>
      <c r="J1" s="149"/>
      <c r="K1" s="149"/>
    </row>
    <row r="2">
      <c r="A2" s="1"/>
      <c r="B2" s="151" t="s">
        <v>302</v>
      </c>
      <c r="C2" s="1"/>
      <c r="D2" s="1"/>
      <c r="E2" s="1"/>
      <c r="F2" s="1"/>
    </row>
    <row r="3">
      <c r="A3" s="5" t="s">
        <v>3</v>
      </c>
      <c r="B3" s="158" t="s">
        <v>5</v>
      </c>
      <c r="C3" s="159" t="s">
        <v>165</v>
      </c>
      <c r="D3" s="159" t="s">
        <v>166</v>
      </c>
      <c r="E3" s="158" t="s">
        <v>316</v>
      </c>
      <c r="F3" s="158" t="s">
        <v>318</v>
      </c>
      <c r="G3" s="158" t="s">
        <v>12</v>
      </c>
      <c r="H3" s="158" t="s">
        <v>14</v>
      </c>
      <c r="I3" s="15" t="s">
        <v>16</v>
      </c>
      <c r="J3" s="162" t="s">
        <v>20</v>
      </c>
      <c r="K3" s="162" t="s">
        <v>21</v>
      </c>
    </row>
    <row r="4">
      <c r="A4" s="1" t="s">
        <v>326</v>
      </c>
      <c r="B4" s="163" t="s">
        <v>172</v>
      </c>
      <c r="C4" s="163" t="s">
        <v>175</v>
      </c>
      <c r="D4" s="163" t="s">
        <v>178</v>
      </c>
      <c r="E4" s="164">
        <v>46266.0</v>
      </c>
      <c r="F4" s="165" t="s">
        <v>338</v>
      </c>
      <c r="G4" s="167" t="s">
        <v>56</v>
      </c>
      <c r="H4" s="168"/>
      <c r="I4" s="28" t="b">
        <v>0</v>
      </c>
      <c r="J4" s="149"/>
      <c r="K4" s="149"/>
    </row>
    <row r="5" hidden="1">
      <c r="A5" s="1" t="s">
        <v>326</v>
      </c>
      <c r="B5" s="171" t="s">
        <v>275</v>
      </c>
      <c r="C5" s="171" t="s">
        <v>276</v>
      </c>
      <c r="D5" s="171" t="s">
        <v>277</v>
      </c>
      <c r="E5" s="172"/>
      <c r="F5" s="172"/>
      <c r="G5" s="173"/>
      <c r="H5" s="174"/>
      <c r="I5" s="28" t="b">
        <v>0</v>
      </c>
      <c r="J5" s="149"/>
      <c r="K5" s="149"/>
    </row>
    <row r="6" hidden="1">
      <c r="A6" s="1" t="s">
        <v>326</v>
      </c>
      <c r="B6" s="163" t="s">
        <v>186</v>
      </c>
      <c r="C6" s="163" t="s">
        <v>187</v>
      </c>
      <c r="D6" s="163" t="s">
        <v>178</v>
      </c>
      <c r="E6" s="176"/>
      <c r="F6" s="176"/>
      <c r="G6" s="177"/>
      <c r="H6" s="174"/>
      <c r="I6" s="28" t="b">
        <v>0</v>
      </c>
      <c r="J6" s="149"/>
      <c r="K6" s="149"/>
    </row>
    <row r="7" hidden="1">
      <c r="A7" s="54" t="s">
        <v>326</v>
      </c>
      <c r="B7" s="179" t="s">
        <v>236</v>
      </c>
      <c r="C7" s="179" t="s">
        <v>237</v>
      </c>
      <c r="D7" s="179" t="s">
        <v>239</v>
      </c>
      <c r="E7" s="180"/>
      <c r="F7" s="180"/>
      <c r="G7" s="181"/>
      <c r="H7" s="174"/>
      <c r="I7" s="28" t="b">
        <v>0</v>
      </c>
      <c r="J7" s="149"/>
      <c r="K7" s="149"/>
    </row>
    <row r="8" hidden="1">
      <c r="A8" s="182" t="s">
        <v>411</v>
      </c>
      <c r="B8" s="163" t="s">
        <v>197</v>
      </c>
      <c r="C8" s="183" t="s">
        <v>199</v>
      </c>
      <c r="D8" s="163" t="s">
        <v>178</v>
      </c>
      <c r="E8" s="184"/>
      <c r="F8" s="184"/>
      <c r="G8" s="185"/>
      <c r="H8" s="186"/>
      <c r="I8" s="28" t="b">
        <v>0</v>
      </c>
      <c r="J8" s="149"/>
      <c r="K8" s="149"/>
    </row>
    <row r="9" hidden="1">
      <c r="A9" s="54" t="s">
        <v>326</v>
      </c>
      <c r="B9" s="188" t="s">
        <v>246</v>
      </c>
      <c r="C9" s="179" t="s">
        <v>247</v>
      </c>
      <c r="D9" s="179" t="s">
        <v>239</v>
      </c>
      <c r="E9" s="189"/>
      <c r="F9" s="189"/>
      <c r="G9" s="190"/>
      <c r="H9" s="186"/>
      <c r="I9" s="28" t="b">
        <v>0</v>
      </c>
      <c r="J9" s="149"/>
      <c r="K9" s="149"/>
    </row>
    <row r="10" hidden="1">
      <c r="A10" s="1"/>
      <c r="B10" s="163" t="s">
        <v>283</v>
      </c>
      <c r="C10" s="163" t="s">
        <v>284</v>
      </c>
      <c r="D10" s="163" t="s">
        <v>286</v>
      </c>
      <c r="E10" s="176"/>
      <c r="F10" s="176"/>
      <c r="G10" s="177"/>
      <c r="H10" s="174"/>
      <c r="I10" s="28" t="b">
        <v>0</v>
      </c>
      <c r="J10" s="149"/>
      <c r="K10" s="149"/>
    </row>
    <row r="11" hidden="1">
      <c r="A11" s="182" t="s">
        <v>411</v>
      </c>
      <c r="B11" s="171" t="s">
        <v>205</v>
      </c>
      <c r="C11" s="191" t="s">
        <v>208</v>
      </c>
      <c r="D11" s="171" t="s">
        <v>178</v>
      </c>
      <c r="E11" s="172"/>
      <c r="F11" s="172"/>
      <c r="G11" s="173"/>
      <c r="H11" s="174"/>
      <c r="I11" s="28" t="b">
        <v>0</v>
      </c>
      <c r="J11" s="149"/>
      <c r="K11" s="149"/>
    </row>
    <row r="12" hidden="1">
      <c r="A12" s="54" t="s">
        <v>326</v>
      </c>
      <c r="B12" s="163" t="s">
        <v>213</v>
      </c>
      <c r="C12" s="192" t="s">
        <v>419</v>
      </c>
      <c r="D12" s="163" t="s">
        <v>178</v>
      </c>
      <c r="E12" s="176"/>
      <c r="F12" s="176"/>
      <c r="G12" s="177"/>
      <c r="H12" s="174"/>
      <c r="I12" s="52" t="b">
        <v>0</v>
      </c>
      <c r="J12" s="149"/>
      <c r="K12" s="149"/>
    </row>
    <row r="13" hidden="1">
      <c r="A13" s="1" t="s">
        <v>326</v>
      </c>
      <c r="B13" s="171" t="s">
        <v>296</v>
      </c>
      <c r="C13" s="171" t="s">
        <v>298</v>
      </c>
      <c r="D13" s="171" t="s">
        <v>299</v>
      </c>
      <c r="E13" s="172"/>
      <c r="F13" s="172"/>
      <c r="G13" s="173"/>
      <c r="H13" s="174"/>
      <c r="I13" s="28" t="b">
        <v>0</v>
      </c>
      <c r="J13" s="149"/>
      <c r="K13" s="149"/>
    </row>
    <row r="14" hidden="1">
      <c r="A14" s="1" t="s">
        <v>326</v>
      </c>
      <c r="B14" s="163" t="s">
        <v>221</v>
      </c>
      <c r="C14" s="163" t="s">
        <v>224</v>
      </c>
      <c r="D14" s="163" t="s">
        <v>178</v>
      </c>
      <c r="E14" s="176"/>
      <c r="F14" s="176"/>
      <c r="G14" s="177"/>
      <c r="H14" s="174"/>
      <c r="I14" s="28" t="b">
        <v>0</v>
      </c>
      <c r="J14" s="149"/>
      <c r="K14" s="149"/>
    </row>
    <row r="15" hidden="1">
      <c r="A15" s="1" t="s">
        <v>411</v>
      </c>
      <c r="B15" s="171" t="s">
        <v>227</v>
      </c>
      <c r="C15" s="171" t="s">
        <v>228</v>
      </c>
      <c r="D15" s="171" t="s">
        <v>178</v>
      </c>
      <c r="E15" s="172"/>
      <c r="F15" s="172"/>
      <c r="G15" s="173"/>
      <c r="H15" s="174"/>
      <c r="I15" s="28" t="b">
        <v>0</v>
      </c>
      <c r="J15" s="149"/>
      <c r="K15" s="149"/>
    </row>
    <row r="16" hidden="1">
      <c r="A16" s="1" t="s">
        <v>326</v>
      </c>
      <c r="B16" s="163" t="s">
        <v>311</v>
      </c>
      <c r="C16" s="163" t="s">
        <v>312</v>
      </c>
      <c r="D16" s="163" t="s">
        <v>313</v>
      </c>
      <c r="E16" s="184"/>
      <c r="F16" s="184"/>
      <c r="G16" s="185"/>
      <c r="H16" s="186"/>
      <c r="I16" s="28" t="b">
        <v>0</v>
      </c>
      <c r="J16" s="149"/>
      <c r="K16" s="149"/>
    </row>
    <row r="17" hidden="1">
      <c r="A17" s="1" t="s">
        <v>326</v>
      </c>
      <c r="B17" s="171" t="s">
        <v>253</v>
      </c>
      <c r="C17" s="171" t="s">
        <v>256</v>
      </c>
      <c r="D17" s="171" t="s">
        <v>239</v>
      </c>
      <c r="E17" s="198"/>
      <c r="F17" s="198"/>
      <c r="G17" s="199"/>
      <c r="H17" s="186"/>
      <c r="I17" s="28" t="b">
        <v>0</v>
      </c>
      <c r="J17" s="149"/>
      <c r="K17" s="149"/>
    </row>
    <row r="18" hidden="1">
      <c r="A18" s="1" t="s">
        <v>411</v>
      </c>
      <c r="B18" s="163" t="s">
        <v>429</v>
      </c>
      <c r="C18" s="163" t="s">
        <v>430</v>
      </c>
      <c r="D18" s="163" t="s">
        <v>178</v>
      </c>
      <c r="E18" s="184"/>
      <c r="F18" s="184"/>
      <c r="G18" s="185"/>
      <c r="H18" s="186"/>
      <c r="I18" s="28" t="b">
        <v>0</v>
      </c>
      <c r="J18" s="149"/>
      <c r="K18" s="149"/>
    </row>
    <row r="19" hidden="1">
      <c r="A19" s="1" t="s">
        <v>326</v>
      </c>
      <c r="B19" s="171" t="s">
        <v>267</v>
      </c>
      <c r="C19" s="171" t="s">
        <v>268</v>
      </c>
      <c r="D19" s="200" t="s">
        <v>239</v>
      </c>
      <c r="E19" s="201"/>
      <c r="F19" s="201"/>
      <c r="G19" s="202"/>
      <c r="H19" s="203"/>
      <c r="I19" s="28" t="b">
        <v>0</v>
      </c>
      <c r="J19" s="149"/>
      <c r="K19" s="149"/>
    </row>
    <row r="20">
      <c r="A20" s="59" t="s">
        <v>411</v>
      </c>
      <c r="B20" s="204" t="s">
        <v>433</v>
      </c>
      <c r="C20" s="204" t="s">
        <v>434</v>
      </c>
      <c r="D20" s="204" t="s">
        <v>178</v>
      </c>
      <c r="E20" s="205">
        <v>46023.0</v>
      </c>
      <c r="F20" s="206">
        <v>46143.0</v>
      </c>
      <c r="G20" s="207" t="s">
        <v>436</v>
      </c>
      <c r="H20" s="203">
        <f t="shared" ref="H20:H24" si="1">F20-TODAY()</f>
        <v>-94</v>
      </c>
      <c r="I20" s="28" t="b">
        <v>0</v>
      </c>
      <c r="J20" s="149"/>
      <c r="K20" s="149"/>
    </row>
    <row r="21">
      <c r="A21" s="86" t="s">
        <v>326</v>
      </c>
      <c r="B21" s="109" t="s">
        <v>437</v>
      </c>
      <c r="C21" s="208" t="s">
        <v>438</v>
      </c>
      <c r="D21" s="109" t="s">
        <v>439</v>
      </c>
      <c r="E21" s="209">
        <v>46036.0</v>
      </c>
      <c r="F21" s="206">
        <v>46107.0</v>
      </c>
      <c r="G21" s="167" t="s">
        <v>56</v>
      </c>
      <c r="H21" s="203">
        <f t="shared" si="1"/>
        <v>-130</v>
      </c>
      <c r="I21" s="28" t="b">
        <v>0</v>
      </c>
      <c r="J21" s="149"/>
      <c r="K21" s="149"/>
    </row>
    <row r="22">
      <c r="A22" s="86" t="s">
        <v>411</v>
      </c>
      <c r="B22" s="86" t="s">
        <v>444</v>
      </c>
      <c r="C22" s="212">
        <v>45988.0</v>
      </c>
      <c r="D22" s="86" t="s">
        <v>445</v>
      </c>
      <c r="E22" s="205">
        <v>45986.0</v>
      </c>
      <c r="F22" s="206">
        <v>46112.0</v>
      </c>
      <c r="G22" s="207" t="s">
        <v>56</v>
      </c>
      <c r="H22" s="203">
        <f t="shared" si="1"/>
        <v>-125</v>
      </c>
      <c r="I22" s="28" t="b">
        <v>0</v>
      </c>
      <c r="J22" s="145" t="s">
        <v>448</v>
      </c>
      <c r="K22" s="146"/>
    </row>
    <row r="23">
      <c r="A23" s="86" t="s">
        <v>326</v>
      </c>
      <c r="B23" s="109" t="s">
        <v>253</v>
      </c>
      <c r="C23" s="208" t="s">
        <v>453</v>
      </c>
      <c r="D23" s="109" t="s">
        <v>239</v>
      </c>
      <c r="E23" s="209">
        <v>45931.0</v>
      </c>
      <c r="F23" s="209">
        <v>46660.0</v>
      </c>
      <c r="G23" s="177"/>
      <c r="H23" s="203">
        <f t="shared" si="1"/>
        <v>423</v>
      </c>
      <c r="I23" s="28" t="b">
        <v>0</v>
      </c>
      <c r="J23" s="149"/>
      <c r="K23" s="149"/>
    </row>
    <row r="24">
      <c r="A24" s="86" t="s">
        <v>411</v>
      </c>
      <c r="B24" s="225" t="s">
        <v>461</v>
      </c>
      <c r="C24" s="86" t="s">
        <v>463</v>
      </c>
      <c r="D24" s="86" t="s">
        <v>178</v>
      </c>
      <c r="E24" s="227">
        <v>46006.0</v>
      </c>
      <c r="F24" s="227">
        <v>46173.0</v>
      </c>
      <c r="G24" s="229" t="s">
        <v>464</v>
      </c>
      <c r="H24" s="203">
        <f t="shared" si="1"/>
        <v>-64</v>
      </c>
      <c r="I24" s="28" t="b">
        <v>0</v>
      </c>
      <c r="J24" s="149"/>
      <c r="K24" s="149"/>
    </row>
    <row r="25">
      <c r="A25" s="86"/>
      <c r="C25" s="225" t="s">
        <v>465</v>
      </c>
      <c r="D25" s="232" t="s">
        <v>466</v>
      </c>
      <c r="E25" s="205"/>
      <c r="F25" s="227"/>
      <c r="G25" s="229"/>
      <c r="H25" s="203"/>
      <c r="I25" s="28" t="b">
        <v>0</v>
      </c>
      <c r="J25" s="149"/>
      <c r="K25" s="149"/>
    </row>
    <row r="26">
      <c r="A26" s="86"/>
      <c r="D26" s="232" t="s">
        <v>469</v>
      </c>
      <c r="E26" s="205"/>
      <c r="F26" s="227"/>
      <c r="G26" s="229"/>
      <c r="H26" s="203"/>
      <c r="I26" s="28" t="b">
        <v>0</v>
      </c>
      <c r="J26" s="149"/>
      <c r="K26" s="149"/>
    </row>
    <row r="27">
      <c r="A27" s="86" t="s">
        <v>326</v>
      </c>
      <c r="B27" s="192" t="s">
        <v>471</v>
      </c>
      <c r="C27" s="192" t="s">
        <v>472</v>
      </c>
      <c r="D27" s="192" t="s">
        <v>473</v>
      </c>
      <c r="E27" s="209">
        <v>46011.0</v>
      </c>
      <c r="F27" s="209">
        <v>46376.0</v>
      </c>
      <c r="G27" s="208" t="s">
        <v>56</v>
      </c>
      <c r="H27" s="203">
        <f t="shared" ref="H27:H36" si="2">F27-TODAY()</f>
        <v>139</v>
      </c>
      <c r="I27" s="28" t="b">
        <v>0</v>
      </c>
      <c r="J27" s="149"/>
      <c r="K27" s="149"/>
    </row>
    <row r="28">
      <c r="A28" s="86" t="s">
        <v>326</v>
      </c>
      <c r="B28" s="237" t="s">
        <v>475</v>
      </c>
      <c r="C28" s="237" t="s">
        <v>476</v>
      </c>
      <c r="D28" s="237" t="s">
        <v>178</v>
      </c>
      <c r="E28" s="227">
        <v>46042.0</v>
      </c>
      <c r="F28" s="227">
        <v>46321.0</v>
      </c>
      <c r="G28" s="229" t="s">
        <v>56</v>
      </c>
      <c r="H28" s="203">
        <f t="shared" si="2"/>
        <v>84</v>
      </c>
      <c r="I28" s="28" t="b">
        <v>0</v>
      </c>
      <c r="J28" s="149"/>
      <c r="K28" s="149"/>
    </row>
    <row r="29">
      <c r="A29" s="86" t="s">
        <v>411</v>
      </c>
      <c r="B29" s="243" t="s">
        <v>480</v>
      </c>
      <c r="C29" s="243" t="s">
        <v>481</v>
      </c>
      <c r="D29" s="243" t="s">
        <v>178</v>
      </c>
      <c r="E29" s="209">
        <v>46026.0</v>
      </c>
      <c r="F29" s="209">
        <v>46071.0</v>
      </c>
      <c r="G29" s="208" t="s">
        <v>483</v>
      </c>
      <c r="H29" s="203">
        <f t="shared" si="2"/>
        <v>-166</v>
      </c>
      <c r="I29" s="28" t="b">
        <v>0</v>
      </c>
      <c r="J29" s="149"/>
      <c r="K29" s="149"/>
    </row>
    <row r="30">
      <c r="A30" s="86" t="s">
        <v>326</v>
      </c>
      <c r="B30" s="86" t="s">
        <v>488</v>
      </c>
      <c r="C30" s="86" t="s">
        <v>489</v>
      </c>
      <c r="D30" s="86" t="s">
        <v>490</v>
      </c>
      <c r="E30" s="227">
        <v>46082.0</v>
      </c>
      <c r="F30" s="206">
        <v>46124.0</v>
      </c>
      <c r="G30" s="229"/>
      <c r="H30" s="203">
        <f t="shared" si="2"/>
        <v>-113</v>
      </c>
      <c r="I30" s="28" t="b">
        <v>0</v>
      </c>
      <c r="J30" s="149"/>
      <c r="K30" s="149"/>
    </row>
    <row r="31">
      <c r="A31" s="86" t="s">
        <v>491</v>
      </c>
      <c r="B31" s="109" t="s">
        <v>492</v>
      </c>
      <c r="C31" s="109" t="s">
        <v>494</v>
      </c>
      <c r="D31" s="109" t="s">
        <v>473</v>
      </c>
      <c r="E31" s="209">
        <v>46174.0</v>
      </c>
      <c r="F31" s="209">
        <v>47269.0</v>
      </c>
      <c r="G31" s="208" t="s">
        <v>500</v>
      </c>
      <c r="H31" s="203">
        <f t="shared" si="2"/>
        <v>1032</v>
      </c>
      <c r="I31" s="28" t="b">
        <v>0</v>
      </c>
      <c r="J31" s="149"/>
      <c r="K31" s="149"/>
    </row>
    <row r="32">
      <c r="A32" s="86" t="s">
        <v>326</v>
      </c>
      <c r="B32" s="86" t="s">
        <v>502</v>
      </c>
      <c r="C32" s="86" t="s">
        <v>503</v>
      </c>
      <c r="D32" s="86" t="s">
        <v>504</v>
      </c>
      <c r="E32" s="227">
        <v>46083.0</v>
      </c>
      <c r="F32" s="206">
        <v>46113.0</v>
      </c>
      <c r="G32" s="229" t="s">
        <v>506</v>
      </c>
      <c r="H32" s="203">
        <f t="shared" si="2"/>
        <v>-124</v>
      </c>
      <c r="I32" s="28" t="b">
        <v>0</v>
      </c>
      <c r="J32" s="149"/>
      <c r="K32" s="149"/>
    </row>
    <row r="33">
      <c r="A33" s="86" t="s">
        <v>326</v>
      </c>
      <c r="B33" s="254" t="s">
        <v>508</v>
      </c>
      <c r="C33" s="208" t="s">
        <v>510</v>
      </c>
      <c r="D33" s="109" t="s">
        <v>512</v>
      </c>
      <c r="E33" s="209">
        <v>46023.0</v>
      </c>
      <c r="F33" s="209">
        <v>47118.0</v>
      </c>
      <c r="G33" s="208" t="s">
        <v>56</v>
      </c>
      <c r="H33" s="203">
        <f t="shared" si="2"/>
        <v>881</v>
      </c>
      <c r="I33" s="28" t="b">
        <v>0</v>
      </c>
      <c r="J33" s="149"/>
      <c r="K33" s="149"/>
    </row>
    <row r="34">
      <c r="A34" s="86" t="s">
        <v>411</v>
      </c>
      <c r="B34" s="263" t="s">
        <v>517</v>
      </c>
      <c r="C34" s="264" t="s">
        <v>518</v>
      </c>
      <c r="D34" s="87" t="s">
        <v>178</v>
      </c>
      <c r="E34" s="265">
        <v>46092.0</v>
      </c>
      <c r="F34" s="266">
        <v>46107.0</v>
      </c>
      <c r="G34" s="264" t="s">
        <v>519</v>
      </c>
      <c r="H34" s="203">
        <f t="shared" si="2"/>
        <v>-130</v>
      </c>
      <c r="I34" s="28" t="b">
        <v>0</v>
      </c>
      <c r="J34" s="149"/>
      <c r="K34" s="149"/>
    </row>
    <row r="35">
      <c r="A35" s="86" t="s">
        <v>326</v>
      </c>
      <c r="B35" s="109" t="s">
        <v>520</v>
      </c>
      <c r="C35" s="109" t="s">
        <v>521</v>
      </c>
      <c r="D35" s="109" t="s">
        <v>522</v>
      </c>
      <c r="E35" s="209">
        <v>46023.0</v>
      </c>
      <c r="F35" s="269">
        <v>46691.0</v>
      </c>
      <c r="G35" s="208" t="s">
        <v>56</v>
      </c>
      <c r="H35" s="203">
        <f t="shared" si="2"/>
        <v>454</v>
      </c>
      <c r="I35" s="28" t="b">
        <v>0</v>
      </c>
      <c r="J35" s="149"/>
      <c r="K35" s="149"/>
    </row>
    <row r="36">
      <c r="A36" s="86" t="s">
        <v>326</v>
      </c>
      <c r="B36" s="86" t="s">
        <v>529</v>
      </c>
      <c r="C36" s="86" t="s">
        <v>530</v>
      </c>
      <c r="D36" s="86" t="s">
        <v>522</v>
      </c>
      <c r="E36" s="227">
        <v>46023.0</v>
      </c>
      <c r="F36" s="271">
        <v>46691.0</v>
      </c>
      <c r="G36" s="229" t="s">
        <v>56</v>
      </c>
      <c r="H36" s="203">
        <f t="shared" si="2"/>
        <v>454</v>
      </c>
      <c r="I36" s="28" t="b">
        <v>0</v>
      </c>
      <c r="J36" s="149"/>
      <c r="K36" s="149"/>
    </row>
    <row r="37">
      <c r="A37" s="86" t="s">
        <v>535</v>
      </c>
      <c r="B37" s="109" t="s">
        <v>536</v>
      </c>
      <c r="C37" s="109" t="s">
        <v>538</v>
      </c>
      <c r="D37" s="109" t="s">
        <v>504</v>
      </c>
      <c r="E37" s="209">
        <v>46218.0</v>
      </c>
      <c r="F37" s="269">
        <v>46356.0</v>
      </c>
      <c r="G37" s="208" t="s">
        <v>56</v>
      </c>
      <c r="H37" s="203"/>
      <c r="I37" s="28" t="b">
        <v>0</v>
      </c>
      <c r="J37" s="149"/>
      <c r="K37" s="149"/>
    </row>
    <row r="38">
      <c r="A38" s="86" t="s">
        <v>326</v>
      </c>
      <c r="B38" s="86" t="s">
        <v>540</v>
      </c>
      <c r="C38" s="86" t="s">
        <v>247</v>
      </c>
      <c r="D38" s="86" t="s">
        <v>239</v>
      </c>
      <c r="E38" s="285" t="s">
        <v>541</v>
      </c>
      <c r="F38" s="287" t="s">
        <v>542</v>
      </c>
      <c r="G38" s="229" t="s">
        <v>543</v>
      </c>
      <c r="H38" s="28"/>
      <c r="I38" s="28" t="b">
        <v>0</v>
      </c>
      <c r="J38" s="149"/>
      <c r="K38" s="149"/>
    </row>
    <row r="39">
      <c r="A39" s="86" t="s">
        <v>411</v>
      </c>
      <c r="B39" s="87" t="s">
        <v>429</v>
      </c>
      <c r="C39" s="87" t="s">
        <v>545</v>
      </c>
      <c r="D39" s="87" t="s">
        <v>178</v>
      </c>
      <c r="E39" s="291"/>
      <c r="F39" s="266">
        <v>46129.0</v>
      </c>
      <c r="G39" s="264" t="s">
        <v>519</v>
      </c>
      <c r="H39" s="203">
        <f>F39-TODAY()</f>
        <v>-108</v>
      </c>
      <c r="I39" s="28" t="b">
        <v>0</v>
      </c>
      <c r="J39" s="149"/>
      <c r="K39" s="149"/>
    </row>
    <row r="40">
      <c r="A40" s="86" t="s">
        <v>326</v>
      </c>
      <c r="B40" s="87" t="s">
        <v>554</v>
      </c>
      <c r="C40" s="87" t="s">
        <v>247</v>
      </c>
      <c r="D40" s="87" t="s">
        <v>239</v>
      </c>
      <c r="E40" s="291" t="s">
        <v>555</v>
      </c>
      <c r="F40" s="291" t="s">
        <v>557</v>
      </c>
      <c r="G40" s="264" t="s">
        <v>558</v>
      </c>
      <c r="H40" s="203"/>
      <c r="I40" s="28" t="b">
        <v>0</v>
      </c>
      <c r="J40" s="149"/>
      <c r="K40" s="149"/>
    </row>
    <row r="41">
      <c r="A41" s="86" t="s">
        <v>326</v>
      </c>
      <c r="B41" s="109" t="s">
        <v>562</v>
      </c>
      <c r="C41" s="208" t="s">
        <v>563</v>
      </c>
      <c r="D41" s="109" t="s">
        <v>473</v>
      </c>
      <c r="E41" s="302">
        <v>46174.0</v>
      </c>
      <c r="F41" s="209">
        <v>47269.0</v>
      </c>
      <c r="G41" s="208"/>
      <c r="H41" s="203">
        <f>F41-TODAY()</f>
        <v>1032</v>
      </c>
      <c r="I41" s="28" t="b">
        <v>0</v>
      </c>
      <c r="J41" s="149"/>
      <c r="K41" s="149"/>
    </row>
    <row r="42">
      <c r="A42" s="86" t="s">
        <v>326</v>
      </c>
      <c r="B42" s="86" t="s">
        <v>570</v>
      </c>
      <c r="C42" s="229" t="s">
        <v>572</v>
      </c>
      <c r="D42" s="86" t="s">
        <v>574</v>
      </c>
      <c r="E42" s="227">
        <v>46023.0</v>
      </c>
      <c r="F42" s="285" t="s">
        <v>576</v>
      </c>
      <c r="G42" s="229"/>
      <c r="H42" s="203"/>
      <c r="I42" s="52" t="b">
        <v>1</v>
      </c>
      <c r="J42" s="145" t="s">
        <v>577</v>
      </c>
      <c r="K42" s="146"/>
    </row>
    <row r="43">
      <c r="A43" s="86" t="s">
        <v>326</v>
      </c>
      <c r="B43" s="309" t="s">
        <v>580</v>
      </c>
      <c r="C43" s="309" t="s">
        <v>581</v>
      </c>
      <c r="D43" s="309" t="s">
        <v>582</v>
      </c>
      <c r="E43" s="209">
        <v>46146.0</v>
      </c>
      <c r="F43" s="269">
        <v>46511.0</v>
      </c>
      <c r="G43" s="208"/>
      <c r="H43" s="203">
        <f>F43-TODAY()</f>
        <v>274</v>
      </c>
      <c r="I43" s="52" t="b">
        <v>0</v>
      </c>
      <c r="J43" s="146"/>
      <c r="K43" s="146"/>
    </row>
    <row r="44">
      <c r="A44" s="86" t="s">
        <v>326</v>
      </c>
      <c r="B44" s="75" t="s">
        <v>585</v>
      </c>
      <c r="C44" s="75"/>
      <c r="D44" s="75" t="s">
        <v>586</v>
      </c>
      <c r="E44" s="227">
        <v>46177.0</v>
      </c>
      <c r="F44" s="271">
        <v>46541.0</v>
      </c>
      <c r="G44" s="229"/>
      <c r="H44" s="203"/>
      <c r="I44" s="52" t="b">
        <v>0</v>
      </c>
      <c r="J44" s="146"/>
      <c r="K44" s="146"/>
    </row>
    <row r="45">
      <c r="A45" s="86" t="s">
        <v>326</v>
      </c>
      <c r="B45" s="254" t="s">
        <v>590</v>
      </c>
      <c r="C45" s="208" t="s">
        <v>591</v>
      </c>
      <c r="D45" s="109" t="s">
        <v>593</v>
      </c>
      <c r="E45" s="209">
        <v>46174.0</v>
      </c>
      <c r="F45" s="209">
        <v>46904.0</v>
      </c>
      <c r="G45" s="208"/>
      <c r="H45" s="28"/>
      <c r="I45" s="52" t="b">
        <v>0</v>
      </c>
      <c r="J45" s="149"/>
      <c r="K45" s="149"/>
    </row>
    <row r="46">
      <c r="A46" s="86" t="s">
        <v>326</v>
      </c>
      <c r="B46" s="322" t="s">
        <v>595</v>
      </c>
      <c r="C46" s="229"/>
      <c r="D46" s="56" t="s">
        <v>596</v>
      </c>
      <c r="E46" s="227"/>
      <c r="F46" s="227"/>
      <c r="G46" s="229"/>
      <c r="H46" s="28"/>
      <c r="I46" s="52" t="b">
        <v>0</v>
      </c>
      <c r="J46" s="149"/>
      <c r="K46" s="149"/>
    </row>
    <row r="47">
      <c r="A47" s="86" t="s">
        <v>411</v>
      </c>
      <c r="C47" s="229" t="s">
        <v>600</v>
      </c>
      <c r="E47" s="271">
        <v>46198.0</v>
      </c>
      <c r="F47" s="227">
        <v>46380.0</v>
      </c>
      <c r="G47" s="229"/>
      <c r="H47" s="28"/>
      <c r="I47" s="28" t="b">
        <v>0</v>
      </c>
      <c r="J47" s="149"/>
      <c r="K47" s="149"/>
    </row>
    <row r="48">
      <c r="A48" s="75" t="s">
        <v>411</v>
      </c>
      <c r="B48" s="309" t="s">
        <v>602</v>
      </c>
      <c r="C48" s="309" t="s">
        <v>603</v>
      </c>
      <c r="D48" s="309" t="s">
        <v>604</v>
      </c>
      <c r="E48" s="324">
        <v>46143.0</v>
      </c>
      <c r="F48" s="324">
        <v>46325.0</v>
      </c>
      <c r="G48" s="326"/>
      <c r="H48" s="327"/>
      <c r="I48" s="328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>
      <c r="A49" s="75" t="s">
        <v>326</v>
      </c>
      <c r="B49" s="288" t="s">
        <v>610</v>
      </c>
      <c r="C49" s="75" t="s">
        <v>611</v>
      </c>
      <c r="D49" s="333" t="s">
        <v>582</v>
      </c>
      <c r="E49" s="334">
        <v>46178.0</v>
      </c>
      <c r="F49" s="334">
        <v>46239.0</v>
      </c>
      <c r="G49" s="335"/>
      <c r="H49" s="327"/>
      <c r="I49" s="328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>
      <c r="A50" s="75" t="s">
        <v>326</v>
      </c>
      <c r="B50" s="309" t="s">
        <v>618</v>
      </c>
      <c r="C50" s="309" t="s">
        <v>619</v>
      </c>
      <c r="D50" s="337" t="s">
        <v>178</v>
      </c>
      <c r="E50" s="338">
        <v>46204.0</v>
      </c>
      <c r="F50" s="338">
        <v>46934.0</v>
      </c>
      <c r="G50" s="339"/>
      <c r="H50" s="327"/>
      <c r="I50" s="328" t="b">
        <v>0</v>
      </c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  <row r="51">
      <c r="A51" s="75" t="s">
        <v>326</v>
      </c>
      <c r="B51" s="75" t="s">
        <v>626</v>
      </c>
      <c r="C51" s="75" t="s">
        <v>627</v>
      </c>
      <c r="D51" s="333" t="s">
        <v>628</v>
      </c>
      <c r="E51" s="334" t="s">
        <v>630</v>
      </c>
      <c r="F51" s="335" t="s">
        <v>631</v>
      </c>
      <c r="G51" s="335"/>
      <c r="H51" s="327"/>
      <c r="I51" s="328" t="b">
        <v>0</v>
      </c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</row>
    <row r="52">
      <c r="A52" s="75" t="s">
        <v>326</v>
      </c>
      <c r="B52" s="309" t="s">
        <v>636</v>
      </c>
      <c r="C52" s="309" t="s">
        <v>637</v>
      </c>
      <c r="D52" s="337" t="s">
        <v>628</v>
      </c>
      <c r="E52" s="340">
        <v>46327.0</v>
      </c>
      <c r="F52" s="339" t="s">
        <v>631</v>
      </c>
      <c r="G52" s="339"/>
      <c r="H52" s="327"/>
      <c r="I52" s="328" t="b">
        <v>0</v>
      </c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</row>
    <row r="53">
      <c r="A53" s="75" t="s">
        <v>640</v>
      </c>
      <c r="B53" s="343" t="s">
        <v>641</v>
      </c>
      <c r="C53" s="343"/>
      <c r="D53" s="344" t="s">
        <v>642</v>
      </c>
      <c r="E53" s="345">
        <v>46218.0</v>
      </c>
      <c r="F53" s="347" t="s">
        <v>644</v>
      </c>
      <c r="G53" s="339"/>
      <c r="H53" s="327"/>
      <c r="I53" s="328" t="b">
        <v>0</v>
      </c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</row>
    <row r="54">
      <c r="A54" s="75"/>
      <c r="B54" s="309"/>
      <c r="C54" s="309"/>
      <c r="D54" s="337"/>
      <c r="E54" s="338"/>
      <c r="F54" s="347"/>
      <c r="G54" s="339"/>
      <c r="H54" s="327"/>
      <c r="I54" s="328" t="b">
        <v>0</v>
      </c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</row>
    <row r="55">
      <c r="A55" s="86"/>
      <c r="B55" s="323" t="s">
        <v>650</v>
      </c>
      <c r="C55" s="208"/>
      <c r="D55" s="109"/>
      <c r="E55" s="209"/>
      <c r="F55" s="209"/>
      <c r="G55" s="208"/>
      <c r="H55" s="28"/>
      <c r="I55" s="28" t="b">
        <v>0</v>
      </c>
      <c r="J55" s="149"/>
      <c r="K55" s="149"/>
    </row>
    <row r="56">
      <c r="A56" s="86"/>
      <c r="B56" s="86"/>
      <c r="C56" s="229"/>
      <c r="D56" s="86"/>
      <c r="E56" s="205"/>
      <c r="F56" s="205"/>
      <c r="G56" s="229"/>
      <c r="H56" s="28"/>
      <c r="I56" s="28" t="b">
        <v>0</v>
      </c>
      <c r="J56" s="149"/>
      <c r="K56" s="149"/>
    </row>
    <row r="57" hidden="1">
      <c r="A57" s="353" t="s">
        <v>657</v>
      </c>
      <c r="I57" s="28" t="b">
        <v>0</v>
      </c>
      <c r="J57" s="149"/>
      <c r="K57" s="149"/>
    </row>
    <row r="58" hidden="1">
      <c r="B58" s="86"/>
      <c r="C58" s="148"/>
      <c r="E58" s="205"/>
      <c r="F58" s="205"/>
      <c r="G58" s="229"/>
      <c r="H58" s="133"/>
      <c r="I58" s="28" t="b">
        <v>0</v>
      </c>
      <c r="J58" s="149"/>
      <c r="K58" s="149"/>
    </row>
    <row r="59" hidden="1">
      <c r="A59" s="86" t="s">
        <v>411</v>
      </c>
      <c r="B59" s="109" t="s">
        <v>112</v>
      </c>
      <c r="C59" s="208" t="s">
        <v>661</v>
      </c>
      <c r="D59" s="109" t="s">
        <v>178</v>
      </c>
      <c r="E59" s="209">
        <v>46011.0</v>
      </c>
      <c r="F59" s="209">
        <v>46376.0</v>
      </c>
      <c r="G59" s="208" t="s">
        <v>56</v>
      </c>
      <c r="H59" s="203">
        <f>F59-TODAY()</f>
        <v>139</v>
      </c>
      <c r="I59" s="28" t="b">
        <v>0</v>
      </c>
      <c r="J59" s="149"/>
      <c r="K59" s="149"/>
    </row>
    <row r="60" hidden="1">
      <c r="B60" s="86"/>
      <c r="C60" s="148"/>
      <c r="G60" s="148"/>
      <c r="H60" s="133"/>
      <c r="I60" s="28" t="b">
        <v>0</v>
      </c>
      <c r="J60" s="149"/>
      <c r="K60" s="149"/>
    </row>
    <row r="61">
      <c r="C61" s="148"/>
      <c r="G61" s="148"/>
      <c r="J61" s="149"/>
      <c r="K61" s="149"/>
    </row>
    <row r="62">
      <c r="C62" s="148"/>
      <c r="G62" s="148"/>
      <c r="J62" s="149"/>
      <c r="K62" s="149"/>
    </row>
    <row r="63">
      <c r="C63" s="148"/>
      <c r="G63" s="148"/>
      <c r="J63" s="149"/>
      <c r="K63" s="149"/>
    </row>
    <row r="64">
      <c r="C64" s="148"/>
      <c r="G64" s="148"/>
      <c r="J64" s="149"/>
      <c r="K64" s="149"/>
    </row>
    <row r="65">
      <c r="C65" s="148"/>
      <c r="G65" s="148"/>
      <c r="J65" s="149"/>
      <c r="K65" s="149"/>
    </row>
    <row r="66">
      <c r="C66" s="148"/>
      <c r="G66" s="148"/>
      <c r="J66" s="149"/>
      <c r="K66" s="149"/>
    </row>
    <row r="67">
      <c r="C67" s="148"/>
      <c r="G67" s="148"/>
      <c r="J67" s="149"/>
      <c r="K67" s="149"/>
    </row>
    <row r="68">
      <c r="C68" s="148"/>
      <c r="G68" s="148"/>
      <c r="J68" s="149"/>
      <c r="K68" s="149"/>
    </row>
    <row r="69">
      <c r="C69" s="148"/>
      <c r="G69" s="148"/>
      <c r="J69" s="149"/>
      <c r="K69" s="149"/>
    </row>
    <row r="70">
      <c r="C70" s="148"/>
      <c r="G70" s="148"/>
      <c r="J70" s="149"/>
      <c r="K70" s="149"/>
    </row>
    <row r="71">
      <c r="C71" s="148"/>
      <c r="G71" s="148"/>
      <c r="J71" s="149"/>
      <c r="K71" s="149"/>
    </row>
    <row r="72">
      <c r="C72" s="148"/>
      <c r="G72" s="148"/>
      <c r="J72" s="149"/>
      <c r="K72" s="149"/>
    </row>
    <row r="73">
      <c r="C73" s="148"/>
      <c r="G73" s="148"/>
      <c r="J73" s="149"/>
      <c r="K73" s="149"/>
    </row>
    <row r="74">
      <c r="C74" s="148"/>
      <c r="G74" s="148"/>
      <c r="J74" s="149"/>
      <c r="K74" s="149"/>
    </row>
    <row r="75">
      <c r="C75" s="148"/>
      <c r="G75" s="148"/>
      <c r="J75" s="149"/>
      <c r="K75" s="149"/>
    </row>
    <row r="76">
      <c r="C76" s="148"/>
      <c r="G76" s="148"/>
      <c r="J76" s="149"/>
      <c r="K76" s="149"/>
    </row>
    <row r="77">
      <c r="C77" s="148"/>
      <c r="G77" s="148"/>
      <c r="J77" s="149"/>
      <c r="K77" s="149"/>
    </row>
    <row r="78">
      <c r="C78" s="148"/>
      <c r="G78" s="148"/>
      <c r="J78" s="149"/>
      <c r="K78" s="149"/>
    </row>
    <row r="79">
      <c r="C79" s="148"/>
      <c r="G79" s="148"/>
      <c r="J79" s="149"/>
      <c r="K79" s="149"/>
    </row>
    <row r="80">
      <c r="C80" s="148"/>
      <c r="G80" s="148"/>
      <c r="J80" s="149"/>
      <c r="K80" s="149"/>
    </row>
    <row r="81">
      <c r="C81" s="148"/>
      <c r="G81" s="148"/>
      <c r="J81" s="149"/>
      <c r="K81" s="149"/>
    </row>
    <row r="82">
      <c r="C82" s="148"/>
      <c r="G82" s="148"/>
      <c r="J82" s="149"/>
      <c r="K82" s="149"/>
    </row>
    <row r="83">
      <c r="C83" s="148"/>
      <c r="G83" s="148"/>
      <c r="J83" s="149"/>
      <c r="K83" s="149"/>
    </row>
    <row r="84">
      <c r="C84" s="148"/>
      <c r="G84" s="148"/>
      <c r="J84" s="149"/>
      <c r="K84" s="149"/>
    </row>
    <row r="85">
      <c r="C85" s="148"/>
      <c r="G85" s="148"/>
      <c r="J85" s="149"/>
      <c r="K85" s="149"/>
    </row>
    <row r="86">
      <c r="C86" s="148"/>
      <c r="G86" s="148"/>
      <c r="J86" s="149"/>
      <c r="K86" s="149"/>
    </row>
    <row r="87">
      <c r="C87" s="148"/>
      <c r="G87" s="148"/>
      <c r="J87" s="149"/>
      <c r="K87" s="149"/>
    </row>
    <row r="88">
      <c r="C88" s="148"/>
      <c r="G88" s="148"/>
      <c r="J88" s="149"/>
      <c r="K88" s="149"/>
    </row>
    <row r="89">
      <c r="C89" s="148"/>
      <c r="G89" s="148"/>
      <c r="J89" s="149"/>
      <c r="K89" s="149"/>
    </row>
    <row r="90">
      <c r="C90" s="148"/>
      <c r="G90" s="148"/>
      <c r="J90" s="149"/>
      <c r="K90" s="149"/>
    </row>
    <row r="91">
      <c r="C91" s="148"/>
      <c r="G91" s="148"/>
      <c r="J91" s="149"/>
      <c r="K91" s="149"/>
    </row>
    <row r="92">
      <c r="C92" s="148"/>
      <c r="G92" s="148"/>
      <c r="J92" s="149"/>
      <c r="K92" s="149"/>
    </row>
    <row r="93">
      <c r="C93" s="148"/>
      <c r="G93" s="148"/>
      <c r="J93" s="149"/>
      <c r="K93" s="149"/>
    </row>
    <row r="94">
      <c r="C94" s="148"/>
      <c r="G94" s="148"/>
      <c r="J94" s="149"/>
      <c r="K94" s="149"/>
    </row>
    <row r="95">
      <c r="C95" s="148"/>
      <c r="G95" s="148"/>
      <c r="J95" s="149"/>
      <c r="K95" s="149"/>
    </row>
    <row r="96">
      <c r="C96" s="148"/>
      <c r="G96" s="148"/>
      <c r="J96" s="149"/>
      <c r="K96" s="149"/>
    </row>
    <row r="97">
      <c r="C97" s="148"/>
      <c r="G97" s="148"/>
      <c r="J97" s="149"/>
      <c r="K97" s="149"/>
    </row>
    <row r="98">
      <c r="C98" s="148"/>
      <c r="G98" s="148"/>
      <c r="J98" s="149"/>
      <c r="K98" s="149"/>
    </row>
    <row r="99">
      <c r="C99" s="148"/>
      <c r="G99" s="148"/>
      <c r="J99" s="149"/>
      <c r="K99" s="149"/>
    </row>
    <row r="100">
      <c r="C100" s="148"/>
      <c r="G100" s="148"/>
      <c r="J100" s="149"/>
      <c r="K100" s="149"/>
    </row>
    <row r="101">
      <c r="C101" s="148"/>
      <c r="G101" s="148"/>
      <c r="J101" s="149"/>
      <c r="K101" s="149"/>
    </row>
    <row r="102">
      <c r="C102" s="148"/>
      <c r="G102" s="148"/>
      <c r="J102" s="149"/>
      <c r="K102" s="149"/>
    </row>
    <row r="103">
      <c r="C103" s="148"/>
      <c r="G103" s="148"/>
      <c r="J103" s="149"/>
      <c r="K103" s="149"/>
    </row>
    <row r="104">
      <c r="C104" s="148"/>
      <c r="G104" s="148"/>
      <c r="J104" s="149"/>
      <c r="K104" s="149"/>
    </row>
    <row r="105">
      <c r="C105" s="148"/>
      <c r="G105" s="148"/>
      <c r="J105" s="149"/>
      <c r="K105" s="149"/>
    </row>
    <row r="106">
      <c r="C106" s="148"/>
      <c r="G106" s="148"/>
      <c r="J106" s="149"/>
      <c r="K106" s="149"/>
    </row>
    <row r="107">
      <c r="C107" s="148"/>
      <c r="G107" s="148"/>
      <c r="J107" s="149"/>
      <c r="K107" s="149"/>
    </row>
    <row r="108">
      <c r="C108" s="148"/>
      <c r="G108" s="148"/>
      <c r="J108" s="149"/>
      <c r="K108" s="149"/>
    </row>
    <row r="109">
      <c r="C109" s="148"/>
      <c r="G109" s="148"/>
      <c r="J109" s="149"/>
      <c r="K109" s="149"/>
    </row>
    <row r="110">
      <c r="C110" s="148"/>
      <c r="G110" s="148"/>
      <c r="J110" s="149"/>
      <c r="K110" s="149"/>
    </row>
    <row r="111">
      <c r="C111" s="148"/>
      <c r="G111" s="148"/>
      <c r="J111" s="149"/>
      <c r="K111" s="149"/>
    </row>
    <row r="112">
      <c r="C112" s="148"/>
      <c r="G112" s="148"/>
      <c r="J112" s="149"/>
      <c r="K112" s="149"/>
    </row>
    <row r="113">
      <c r="C113" s="148"/>
      <c r="G113" s="148"/>
      <c r="J113" s="149"/>
      <c r="K113" s="149"/>
    </row>
    <row r="114">
      <c r="C114" s="148"/>
      <c r="G114" s="148"/>
      <c r="J114" s="149"/>
      <c r="K114" s="149"/>
    </row>
    <row r="115">
      <c r="C115" s="148"/>
      <c r="G115" s="148"/>
      <c r="J115" s="149"/>
      <c r="K115" s="149"/>
    </row>
    <row r="116">
      <c r="C116" s="148"/>
      <c r="G116" s="148"/>
      <c r="J116" s="149"/>
      <c r="K116" s="149"/>
    </row>
    <row r="117">
      <c r="C117" s="148"/>
      <c r="G117" s="148"/>
      <c r="J117" s="149"/>
      <c r="K117" s="149"/>
    </row>
    <row r="118">
      <c r="C118" s="148"/>
      <c r="G118" s="148"/>
      <c r="J118" s="149"/>
      <c r="K118" s="149"/>
    </row>
    <row r="119">
      <c r="C119" s="148"/>
      <c r="G119" s="148"/>
      <c r="J119" s="149"/>
      <c r="K119" s="149"/>
    </row>
    <row r="120">
      <c r="C120" s="148"/>
      <c r="G120" s="148"/>
      <c r="J120" s="149"/>
      <c r="K120" s="149"/>
    </row>
    <row r="121">
      <c r="C121" s="148"/>
      <c r="G121" s="148"/>
      <c r="J121" s="149"/>
      <c r="K121" s="149"/>
    </row>
    <row r="122">
      <c r="C122" s="148"/>
      <c r="G122" s="148"/>
      <c r="J122" s="149"/>
      <c r="K122" s="149"/>
    </row>
    <row r="123">
      <c r="C123" s="148"/>
      <c r="G123" s="148"/>
      <c r="J123" s="149"/>
      <c r="K123" s="149"/>
    </row>
    <row r="124">
      <c r="C124" s="148"/>
      <c r="G124" s="148"/>
      <c r="J124" s="149"/>
      <c r="K124" s="149"/>
    </row>
    <row r="125">
      <c r="C125" s="148"/>
      <c r="G125" s="148"/>
      <c r="J125" s="149"/>
      <c r="K125" s="149"/>
    </row>
    <row r="126">
      <c r="C126" s="148"/>
      <c r="G126" s="148"/>
      <c r="J126" s="149"/>
      <c r="K126" s="149"/>
    </row>
    <row r="127">
      <c r="C127" s="148"/>
      <c r="G127" s="148"/>
      <c r="J127" s="149"/>
      <c r="K127" s="149"/>
    </row>
    <row r="128">
      <c r="C128" s="148"/>
      <c r="G128" s="148"/>
      <c r="J128" s="149"/>
      <c r="K128" s="149"/>
    </row>
    <row r="129">
      <c r="C129" s="148"/>
      <c r="G129" s="148"/>
      <c r="J129" s="149"/>
      <c r="K129" s="149"/>
    </row>
    <row r="130">
      <c r="C130" s="148"/>
      <c r="G130" s="148"/>
      <c r="J130" s="149"/>
      <c r="K130" s="149"/>
    </row>
    <row r="131">
      <c r="C131" s="148"/>
      <c r="G131" s="148"/>
      <c r="J131" s="149"/>
      <c r="K131" s="149"/>
    </row>
    <row r="132">
      <c r="C132" s="148"/>
      <c r="G132" s="148"/>
      <c r="J132" s="149"/>
      <c r="K132" s="149"/>
    </row>
    <row r="133">
      <c r="C133" s="148"/>
      <c r="G133" s="148"/>
      <c r="J133" s="149"/>
      <c r="K133" s="149"/>
    </row>
    <row r="134">
      <c r="C134" s="148"/>
      <c r="G134" s="148"/>
      <c r="J134" s="149"/>
      <c r="K134" s="149"/>
    </row>
    <row r="135">
      <c r="C135" s="148"/>
      <c r="G135" s="148"/>
      <c r="J135" s="149"/>
      <c r="K135" s="149"/>
    </row>
    <row r="136">
      <c r="C136" s="148"/>
      <c r="G136" s="148"/>
      <c r="J136" s="149"/>
      <c r="K136" s="149"/>
    </row>
    <row r="137">
      <c r="C137" s="148"/>
      <c r="G137" s="148"/>
      <c r="J137" s="149"/>
      <c r="K137" s="149"/>
    </row>
    <row r="138">
      <c r="C138" s="148"/>
      <c r="G138" s="148"/>
      <c r="J138" s="149"/>
      <c r="K138" s="149"/>
    </row>
    <row r="139">
      <c r="C139" s="148"/>
      <c r="G139" s="148"/>
      <c r="J139" s="149"/>
      <c r="K139" s="149"/>
    </row>
    <row r="140">
      <c r="C140" s="148"/>
      <c r="G140" s="148"/>
      <c r="J140" s="149"/>
      <c r="K140" s="149"/>
    </row>
    <row r="141">
      <c r="C141" s="148"/>
      <c r="G141" s="148"/>
      <c r="J141" s="149"/>
      <c r="K141" s="149"/>
    </row>
    <row r="142">
      <c r="C142" s="148"/>
      <c r="G142" s="148"/>
      <c r="J142" s="149"/>
      <c r="K142" s="149"/>
    </row>
    <row r="143">
      <c r="C143" s="148"/>
      <c r="G143" s="148"/>
      <c r="J143" s="149"/>
      <c r="K143" s="149"/>
    </row>
    <row r="144">
      <c r="C144" s="148"/>
      <c r="G144" s="148"/>
      <c r="J144" s="149"/>
      <c r="K144" s="149"/>
    </row>
    <row r="145">
      <c r="C145" s="148"/>
      <c r="G145" s="148"/>
      <c r="J145" s="149"/>
      <c r="K145" s="149"/>
    </row>
    <row r="146">
      <c r="C146" s="148"/>
      <c r="G146" s="148"/>
      <c r="J146" s="149"/>
      <c r="K146" s="149"/>
    </row>
    <row r="147">
      <c r="C147" s="148"/>
      <c r="G147" s="148"/>
      <c r="J147" s="149"/>
      <c r="K147" s="149"/>
    </row>
    <row r="148">
      <c r="C148" s="148"/>
      <c r="G148" s="148"/>
      <c r="J148" s="149"/>
      <c r="K148" s="149"/>
    </row>
    <row r="149">
      <c r="C149" s="148"/>
      <c r="G149" s="148"/>
      <c r="J149" s="149"/>
      <c r="K149" s="149"/>
    </row>
    <row r="150">
      <c r="C150" s="148"/>
      <c r="G150" s="148"/>
      <c r="J150" s="149"/>
      <c r="K150" s="149"/>
    </row>
    <row r="151">
      <c r="C151" s="148"/>
      <c r="G151" s="148"/>
      <c r="J151" s="149"/>
      <c r="K151" s="149"/>
    </row>
    <row r="152">
      <c r="C152" s="148"/>
      <c r="G152" s="148"/>
      <c r="J152" s="149"/>
      <c r="K152" s="149"/>
    </row>
    <row r="153">
      <c r="C153" s="148"/>
      <c r="G153" s="148"/>
      <c r="J153" s="149"/>
      <c r="K153" s="149"/>
    </row>
    <row r="154">
      <c r="C154" s="148"/>
      <c r="G154" s="148"/>
      <c r="J154" s="149"/>
      <c r="K154" s="149"/>
    </row>
    <row r="155">
      <c r="C155" s="148"/>
      <c r="G155" s="148"/>
      <c r="J155" s="149"/>
      <c r="K155" s="149"/>
    </row>
    <row r="156">
      <c r="C156" s="148"/>
      <c r="G156" s="148"/>
      <c r="J156" s="149"/>
      <c r="K156" s="149"/>
    </row>
    <row r="157">
      <c r="C157" s="148"/>
      <c r="G157" s="148"/>
      <c r="J157" s="149"/>
      <c r="K157" s="149"/>
    </row>
    <row r="158">
      <c r="C158" s="148"/>
      <c r="G158" s="148"/>
      <c r="J158" s="149"/>
      <c r="K158" s="149"/>
    </row>
    <row r="159">
      <c r="C159" s="148"/>
      <c r="G159" s="148"/>
      <c r="J159" s="149"/>
      <c r="K159" s="149"/>
    </row>
    <row r="160">
      <c r="C160" s="148"/>
      <c r="G160" s="148"/>
      <c r="J160" s="149"/>
      <c r="K160" s="149"/>
    </row>
    <row r="161">
      <c r="C161" s="148"/>
      <c r="G161" s="148"/>
      <c r="J161" s="149"/>
      <c r="K161" s="149"/>
    </row>
    <row r="162">
      <c r="C162" s="148"/>
      <c r="G162" s="148"/>
      <c r="J162" s="149"/>
      <c r="K162" s="149"/>
    </row>
    <row r="163">
      <c r="C163" s="148"/>
      <c r="G163" s="148"/>
      <c r="J163" s="149"/>
      <c r="K163" s="149"/>
    </row>
    <row r="164">
      <c r="C164" s="148"/>
      <c r="G164" s="148"/>
      <c r="J164" s="149"/>
      <c r="K164" s="149"/>
    </row>
    <row r="165">
      <c r="C165" s="148"/>
      <c r="G165" s="148"/>
      <c r="J165" s="149"/>
      <c r="K165" s="149"/>
    </row>
    <row r="166">
      <c r="C166" s="148"/>
      <c r="G166" s="148"/>
      <c r="J166" s="149"/>
      <c r="K166" s="149"/>
    </row>
    <row r="167">
      <c r="C167" s="148"/>
      <c r="G167" s="148"/>
      <c r="J167" s="149"/>
      <c r="K167" s="149"/>
    </row>
    <row r="168">
      <c r="C168" s="148"/>
      <c r="G168" s="148"/>
      <c r="J168" s="149"/>
      <c r="K168" s="149"/>
    </row>
    <row r="169">
      <c r="C169" s="148"/>
      <c r="G169" s="148"/>
      <c r="J169" s="149"/>
      <c r="K169" s="149"/>
    </row>
    <row r="170">
      <c r="C170" s="148"/>
      <c r="G170" s="148"/>
      <c r="J170" s="149"/>
      <c r="K170" s="149"/>
    </row>
    <row r="171">
      <c r="C171" s="148"/>
      <c r="G171" s="148"/>
      <c r="J171" s="149"/>
      <c r="K171" s="149"/>
    </row>
    <row r="172">
      <c r="C172" s="148"/>
      <c r="G172" s="148"/>
      <c r="J172" s="149"/>
      <c r="K172" s="149"/>
    </row>
    <row r="173">
      <c r="C173" s="148"/>
      <c r="G173" s="148"/>
      <c r="J173" s="149"/>
      <c r="K173" s="149"/>
    </row>
    <row r="174">
      <c r="C174" s="148"/>
      <c r="G174" s="148"/>
      <c r="J174" s="149"/>
      <c r="K174" s="149"/>
    </row>
    <row r="175">
      <c r="C175" s="148"/>
      <c r="G175" s="148"/>
      <c r="J175" s="149"/>
      <c r="K175" s="149"/>
    </row>
    <row r="176">
      <c r="C176" s="148"/>
      <c r="G176" s="148"/>
      <c r="J176" s="149"/>
      <c r="K176" s="149"/>
    </row>
    <row r="177">
      <c r="C177" s="148"/>
      <c r="G177" s="148"/>
      <c r="J177" s="149"/>
      <c r="K177" s="149"/>
    </row>
    <row r="178">
      <c r="C178" s="148"/>
      <c r="G178" s="148"/>
      <c r="J178" s="149"/>
      <c r="K178" s="149"/>
    </row>
    <row r="179">
      <c r="C179" s="148"/>
      <c r="G179" s="148"/>
      <c r="J179" s="149"/>
      <c r="K179" s="149"/>
    </row>
    <row r="180">
      <c r="C180" s="148"/>
      <c r="G180" s="148"/>
      <c r="J180" s="149"/>
      <c r="K180" s="149"/>
    </row>
    <row r="181">
      <c r="C181" s="148"/>
      <c r="G181" s="148"/>
      <c r="J181" s="149"/>
      <c r="K181" s="149"/>
    </row>
    <row r="182">
      <c r="C182" s="148"/>
      <c r="G182" s="148"/>
      <c r="J182" s="149"/>
      <c r="K182" s="149"/>
    </row>
    <row r="183">
      <c r="C183" s="148"/>
      <c r="G183" s="148"/>
      <c r="J183" s="149"/>
      <c r="K183" s="149"/>
    </row>
    <row r="184">
      <c r="C184" s="148"/>
      <c r="G184" s="148"/>
      <c r="J184" s="149"/>
      <c r="K184" s="149"/>
    </row>
    <row r="185">
      <c r="C185" s="148"/>
      <c r="G185" s="148"/>
      <c r="J185" s="149"/>
      <c r="K185" s="149"/>
    </row>
    <row r="186">
      <c r="C186" s="148"/>
      <c r="G186" s="148"/>
      <c r="J186" s="149"/>
      <c r="K186" s="149"/>
    </row>
    <row r="187">
      <c r="C187" s="148"/>
      <c r="G187" s="148"/>
      <c r="J187" s="149"/>
      <c r="K187" s="149"/>
    </row>
    <row r="188">
      <c r="C188" s="148"/>
      <c r="G188" s="148"/>
      <c r="J188" s="149"/>
      <c r="K188" s="149"/>
    </row>
    <row r="189">
      <c r="C189" s="148"/>
      <c r="G189" s="148"/>
      <c r="J189" s="149"/>
      <c r="K189" s="149"/>
    </row>
    <row r="190">
      <c r="C190" s="148"/>
      <c r="G190" s="148"/>
      <c r="J190" s="149"/>
      <c r="K190" s="149"/>
    </row>
    <row r="191">
      <c r="C191" s="148"/>
      <c r="G191" s="148"/>
      <c r="J191" s="149"/>
      <c r="K191" s="149"/>
    </row>
    <row r="192">
      <c r="C192" s="148"/>
      <c r="G192" s="148"/>
      <c r="J192" s="149"/>
      <c r="K192" s="149"/>
    </row>
    <row r="193">
      <c r="C193" s="148"/>
      <c r="G193" s="148"/>
      <c r="J193" s="149"/>
      <c r="K193" s="149"/>
    </row>
    <row r="194">
      <c r="C194" s="148"/>
      <c r="G194" s="148"/>
      <c r="J194" s="149"/>
      <c r="K194" s="149"/>
    </row>
    <row r="195">
      <c r="C195" s="148"/>
      <c r="G195" s="148"/>
      <c r="J195" s="149"/>
      <c r="K195" s="149"/>
    </row>
    <row r="196">
      <c r="C196" s="148"/>
      <c r="G196" s="148"/>
      <c r="J196" s="149"/>
      <c r="K196" s="149"/>
    </row>
    <row r="197">
      <c r="C197" s="148"/>
      <c r="G197" s="148"/>
      <c r="J197" s="149"/>
      <c r="K197" s="149"/>
    </row>
    <row r="198">
      <c r="C198" s="148"/>
      <c r="G198" s="148"/>
      <c r="J198" s="149"/>
      <c r="K198" s="149"/>
    </row>
    <row r="199">
      <c r="C199" s="148"/>
      <c r="G199" s="148"/>
      <c r="J199" s="149"/>
      <c r="K199" s="149"/>
    </row>
    <row r="200">
      <c r="C200" s="148"/>
      <c r="G200" s="148"/>
      <c r="J200" s="149"/>
      <c r="K200" s="149"/>
    </row>
    <row r="201">
      <c r="C201" s="148"/>
      <c r="G201" s="148"/>
      <c r="J201" s="149"/>
      <c r="K201" s="149"/>
    </row>
    <row r="202">
      <c r="C202" s="148"/>
      <c r="G202" s="148"/>
      <c r="J202" s="149"/>
      <c r="K202" s="149"/>
    </row>
    <row r="203">
      <c r="C203" s="148"/>
      <c r="G203" s="148"/>
      <c r="J203" s="149"/>
      <c r="K203" s="149"/>
    </row>
    <row r="204">
      <c r="C204" s="148"/>
      <c r="G204" s="148"/>
      <c r="J204" s="149"/>
      <c r="K204" s="149"/>
    </row>
    <row r="205">
      <c r="C205" s="148"/>
      <c r="G205" s="148"/>
      <c r="J205" s="149"/>
      <c r="K205" s="149"/>
    </row>
    <row r="206">
      <c r="C206" s="148"/>
      <c r="G206" s="148"/>
      <c r="J206" s="149"/>
      <c r="K206" s="149"/>
    </row>
    <row r="207">
      <c r="C207" s="148"/>
      <c r="G207" s="148"/>
      <c r="J207" s="149"/>
      <c r="K207" s="149"/>
    </row>
    <row r="208">
      <c r="C208" s="148"/>
      <c r="G208" s="148"/>
      <c r="J208" s="149"/>
      <c r="K208" s="149"/>
    </row>
    <row r="209">
      <c r="C209" s="148"/>
      <c r="G209" s="148"/>
      <c r="J209" s="149"/>
      <c r="K209" s="149"/>
    </row>
    <row r="210">
      <c r="C210" s="148"/>
      <c r="G210" s="148"/>
      <c r="J210" s="149"/>
      <c r="K210" s="149"/>
    </row>
    <row r="211">
      <c r="C211" s="148"/>
      <c r="G211" s="148"/>
      <c r="J211" s="149"/>
      <c r="K211" s="149"/>
    </row>
    <row r="212">
      <c r="C212" s="148"/>
      <c r="G212" s="148"/>
      <c r="J212" s="149"/>
      <c r="K212" s="149"/>
    </row>
    <row r="213">
      <c r="C213" s="148"/>
      <c r="G213" s="148"/>
      <c r="J213" s="149"/>
      <c r="K213" s="149"/>
    </row>
    <row r="214">
      <c r="C214" s="148"/>
      <c r="G214" s="148"/>
      <c r="J214" s="149"/>
      <c r="K214" s="149"/>
    </row>
    <row r="215">
      <c r="C215" s="148"/>
      <c r="G215" s="148"/>
      <c r="J215" s="149"/>
      <c r="K215" s="149"/>
    </row>
    <row r="216">
      <c r="C216" s="148"/>
      <c r="G216" s="148"/>
      <c r="J216" s="149"/>
      <c r="K216" s="149"/>
    </row>
    <row r="217">
      <c r="C217" s="148"/>
      <c r="G217" s="148"/>
      <c r="J217" s="149"/>
      <c r="K217" s="149"/>
    </row>
    <row r="218">
      <c r="C218" s="148"/>
      <c r="G218" s="148"/>
      <c r="J218" s="149"/>
      <c r="K218" s="149"/>
    </row>
    <row r="219">
      <c r="C219" s="148"/>
      <c r="G219" s="148"/>
      <c r="J219" s="149"/>
      <c r="K219" s="149"/>
    </row>
    <row r="220">
      <c r="C220" s="148"/>
      <c r="G220" s="148"/>
      <c r="J220" s="149"/>
      <c r="K220" s="149"/>
    </row>
    <row r="221">
      <c r="C221" s="148"/>
      <c r="G221" s="148"/>
      <c r="J221" s="149"/>
      <c r="K221" s="149"/>
    </row>
    <row r="222">
      <c r="C222" s="148"/>
      <c r="G222" s="148"/>
      <c r="J222" s="149"/>
      <c r="K222" s="149"/>
    </row>
    <row r="223">
      <c r="C223" s="148"/>
      <c r="G223" s="148"/>
      <c r="J223" s="149"/>
      <c r="K223" s="149"/>
    </row>
    <row r="224">
      <c r="C224" s="148"/>
      <c r="G224" s="148"/>
      <c r="J224" s="149"/>
      <c r="K224" s="149"/>
    </row>
    <row r="225">
      <c r="C225" s="148"/>
      <c r="G225" s="148"/>
      <c r="J225" s="149"/>
      <c r="K225" s="149"/>
    </row>
    <row r="226">
      <c r="C226" s="148"/>
      <c r="G226" s="148"/>
      <c r="J226" s="149"/>
      <c r="K226" s="149"/>
    </row>
    <row r="227">
      <c r="C227" s="148"/>
      <c r="G227" s="148"/>
      <c r="J227" s="149"/>
      <c r="K227" s="149"/>
    </row>
    <row r="228">
      <c r="C228" s="148"/>
      <c r="G228" s="148"/>
      <c r="J228" s="149"/>
      <c r="K228" s="149"/>
    </row>
    <row r="229">
      <c r="C229" s="148"/>
      <c r="G229" s="148"/>
      <c r="J229" s="149"/>
      <c r="K229" s="149"/>
    </row>
    <row r="230">
      <c r="C230" s="148"/>
      <c r="G230" s="148"/>
      <c r="J230" s="149"/>
      <c r="K230" s="149"/>
    </row>
    <row r="231">
      <c r="C231" s="148"/>
      <c r="G231" s="148"/>
      <c r="J231" s="149"/>
      <c r="K231" s="149"/>
    </row>
    <row r="232">
      <c r="C232" s="148"/>
      <c r="G232" s="148"/>
      <c r="J232" s="149"/>
      <c r="K232" s="149"/>
    </row>
    <row r="233">
      <c r="C233" s="148"/>
      <c r="G233" s="148"/>
      <c r="J233" s="149"/>
      <c r="K233" s="149"/>
    </row>
    <row r="234">
      <c r="C234" s="148"/>
      <c r="G234" s="148"/>
      <c r="J234" s="149"/>
      <c r="K234" s="149"/>
    </row>
    <row r="235">
      <c r="C235" s="148"/>
      <c r="G235" s="148"/>
      <c r="J235" s="149"/>
      <c r="K235" s="149"/>
    </row>
    <row r="236">
      <c r="C236" s="148"/>
      <c r="G236" s="148"/>
      <c r="J236" s="149"/>
      <c r="K236" s="149"/>
    </row>
    <row r="237">
      <c r="C237" s="148"/>
      <c r="G237" s="148"/>
      <c r="J237" s="149"/>
      <c r="K237" s="149"/>
    </row>
    <row r="238">
      <c r="C238" s="148"/>
      <c r="G238" s="148"/>
      <c r="J238" s="149"/>
      <c r="K238" s="149"/>
    </row>
    <row r="239">
      <c r="C239" s="148"/>
      <c r="G239" s="148"/>
      <c r="J239" s="149"/>
      <c r="K239" s="149"/>
    </row>
    <row r="240">
      <c r="C240" s="148"/>
      <c r="G240" s="148"/>
      <c r="J240" s="149"/>
      <c r="K240" s="149"/>
    </row>
    <row r="241">
      <c r="C241" s="148"/>
      <c r="G241" s="148"/>
      <c r="J241" s="149"/>
      <c r="K241" s="149"/>
    </row>
    <row r="242">
      <c r="C242" s="148"/>
      <c r="G242" s="148"/>
      <c r="J242" s="149"/>
      <c r="K242" s="149"/>
    </row>
    <row r="243">
      <c r="C243" s="148"/>
      <c r="G243" s="148"/>
      <c r="J243" s="149"/>
      <c r="K243" s="149"/>
    </row>
    <row r="244">
      <c r="C244" s="148"/>
      <c r="G244" s="148"/>
      <c r="J244" s="149"/>
      <c r="K244" s="149"/>
    </row>
    <row r="245">
      <c r="C245" s="148"/>
      <c r="G245" s="148"/>
      <c r="J245" s="149"/>
      <c r="K245" s="149"/>
    </row>
    <row r="246">
      <c r="C246" s="148"/>
      <c r="G246" s="148"/>
      <c r="J246" s="149"/>
      <c r="K246" s="149"/>
    </row>
    <row r="247">
      <c r="C247" s="148"/>
      <c r="G247" s="148"/>
      <c r="J247" s="149"/>
      <c r="K247" s="149"/>
    </row>
    <row r="248">
      <c r="C248" s="148"/>
      <c r="G248" s="148"/>
      <c r="J248" s="149"/>
      <c r="K248" s="149"/>
    </row>
    <row r="249">
      <c r="C249" s="148"/>
      <c r="G249" s="148"/>
      <c r="J249" s="149"/>
      <c r="K249" s="149"/>
    </row>
    <row r="250">
      <c r="C250" s="148"/>
      <c r="G250" s="148"/>
      <c r="J250" s="149"/>
      <c r="K250" s="149"/>
    </row>
    <row r="251">
      <c r="C251" s="148"/>
      <c r="G251" s="148"/>
      <c r="J251" s="149"/>
      <c r="K251" s="149"/>
    </row>
    <row r="252">
      <c r="C252" s="148"/>
      <c r="G252" s="148"/>
      <c r="J252" s="149"/>
      <c r="K252" s="149"/>
    </row>
    <row r="253">
      <c r="C253" s="148"/>
      <c r="G253" s="148"/>
      <c r="J253" s="149"/>
      <c r="K253" s="149"/>
    </row>
    <row r="254">
      <c r="C254" s="148"/>
      <c r="G254" s="148"/>
      <c r="J254" s="149"/>
      <c r="K254" s="149"/>
    </row>
    <row r="255">
      <c r="C255" s="148"/>
      <c r="G255" s="148"/>
      <c r="J255" s="149"/>
      <c r="K255" s="149"/>
    </row>
    <row r="256">
      <c r="C256" s="148"/>
      <c r="G256" s="148"/>
      <c r="J256" s="149"/>
      <c r="K256" s="149"/>
    </row>
    <row r="257">
      <c r="C257" s="148"/>
      <c r="G257" s="148"/>
      <c r="J257" s="149"/>
      <c r="K257" s="149"/>
    </row>
    <row r="258">
      <c r="C258" s="148"/>
      <c r="G258" s="148"/>
      <c r="J258" s="149"/>
      <c r="K258" s="149"/>
    </row>
    <row r="259">
      <c r="C259" s="148"/>
      <c r="G259" s="148"/>
      <c r="J259" s="149"/>
      <c r="K259" s="149"/>
    </row>
    <row r="260">
      <c r="C260" s="148"/>
      <c r="G260" s="148"/>
      <c r="J260" s="149"/>
      <c r="K260" s="149"/>
    </row>
    <row r="261">
      <c r="C261" s="148"/>
      <c r="G261" s="148"/>
      <c r="J261" s="149"/>
      <c r="K261" s="149"/>
    </row>
    <row r="262">
      <c r="C262" s="148"/>
      <c r="G262" s="148"/>
      <c r="J262" s="149"/>
      <c r="K262" s="149"/>
    </row>
    <row r="263">
      <c r="C263" s="148"/>
      <c r="G263" s="148"/>
      <c r="J263" s="149"/>
      <c r="K263" s="149"/>
    </row>
    <row r="264">
      <c r="C264" s="148"/>
      <c r="G264" s="148"/>
      <c r="J264" s="149"/>
      <c r="K264" s="149"/>
    </row>
    <row r="265">
      <c r="C265" s="148"/>
      <c r="G265" s="148"/>
      <c r="J265" s="149"/>
      <c r="K265" s="149"/>
    </row>
    <row r="266">
      <c r="C266" s="148"/>
      <c r="G266" s="148"/>
      <c r="J266" s="149"/>
      <c r="K266" s="149"/>
    </row>
    <row r="267">
      <c r="C267" s="148"/>
      <c r="G267" s="148"/>
      <c r="J267" s="149"/>
      <c r="K267" s="149"/>
    </row>
    <row r="268">
      <c r="C268" s="148"/>
      <c r="G268" s="148"/>
      <c r="J268" s="149"/>
      <c r="K268" s="149"/>
    </row>
    <row r="269">
      <c r="C269" s="148"/>
      <c r="G269" s="148"/>
      <c r="J269" s="149"/>
      <c r="K269" s="149"/>
    </row>
    <row r="270">
      <c r="C270" s="148"/>
      <c r="G270" s="148"/>
      <c r="J270" s="149"/>
      <c r="K270" s="149"/>
    </row>
    <row r="271">
      <c r="C271" s="148"/>
      <c r="G271" s="148"/>
      <c r="J271" s="149"/>
      <c r="K271" s="149"/>
    </row>
    <row r="272">
      <c r="C272" s="148"/>
      <c r="G272" s="148"/>
      <c r="J272" s="149"/>
      <c r="K272" s="149"/>
    </row>
    <row r="273">
      <c r="C273" s="148"/>
      <c r="G273" s="148"/>
      <c r="J273" s="149"/>
      <c r="K273" s="149"/>
    </row>
    <row r="274">
      <c r="C274" s="148"/>
      <c r="G274" s="148"/>
      <c r="J274" s="149"/>
      <c r="K274" s="149"/>
    </row>
    <row r="275">
      <c r="C275" s="148"/>
      <c r="G275" s="148"/>
      <c r="J275" s="149"/>
      <c r="K275" s="149"/>
    </row>
    <row r="276">
      <c r="C276" s="148"/>
      <c r="G276" s="148"/>
      <c r="J276" s="149"/>
      <c r="K276" s="149"/>
    </row>
    <row r="277">
      <c r="C277" s="148"/>
      <c r="G277" s="148"/>
      <c r="J277" s="149"/>
      <c r="K277" s="149"/>
    </row>
    <row r="278">
      <c r="C278" s="148"/>
      <c r="G278" s="148"/>
      <c r="J278" s="149"/>
      <c r="K278" s="149"/>
    </row>
    <row r="279">
      <c r="C279" s="148"/>
      <c r="G279" s="148"/>
      <c r="J279" s="149"/>
      <c r="K279" s="149"/>
    </row>
    <row r="280">
      <c r="C280" s="148"/>
      <c r="G280" s="148"/>
      <c r="J280" s="149"/>
      <c r="K280" s="149"/>
    </row>
    <row r="281">
      <c r="C281" s="148"/>
      <c r="G281" s="148"/>
      <c r="J281" s="149"/>
      <c r="K281" s="149"/>
    </row>
    <row r="282">
      <c r="C282" s="148"/>
      <c r="G282" s="148"/>
      <c r="J282" s="149"/>
      <c r="K282" s="149"/>
    </row>
    <row r="283">
      <c r="C283" s="148"/>
      <c r="G283" s="148"/>
      <c r="J283" s="149"/>
      <c r="K283" s="149"/>
    </row>
    <row r="284">
      <c r="C284" s="148"/>
      <c r="G284" s="148"/>
      <c r="J284" s="149"/>
      <c r="K284" s="149"/>
    </row>
    <row r="285">
      <c r="C285" s="148"/>
      <c r="G285" s="148"/>
      <c r="J285" s="149"/>
      <c r="K285" s="149"/>
    </row>
    <row r="286">
      <c r="C286" s="148"/>
      <c r="G286" s="148"/>
      <c r="J286" s="149"/>
      <c r="K286" s="149"/>
    </row>
    <row r="287">
      <c r="C287" s="148"/>
      <c r="G287" s="148"/>
      <c r="J287" s="149"/>
      <c r="K287" s="149"/>
    </row>
    <row r="288">
      <c r="C288" s="148"/>
      <c r="G288" s="148"/>
      <c r="J288" s="149"/>
      <c r="K288" s="149"/>
    </row>
    <row r="289">
      <c r="C289" s="148"/>
      <c r="G289" s="148"/>
      <c r="J289" s="149"/>
      <c r="K289" s="149"/>
    </row>
    <row r="290">
      <c r="C290" s="148"/>
      <c r="G290" s="148"/>
      <c r="J290" s="149"/>
      <c r="K290" s="149"/>
    </row>
    <row r="291">
      <c r="C291" s="148"/>
      <c r="G291" s="148"/>
      <c r="J291" s="149"/>
      <c r="K291" s="149"/>
    </row>
    <row r="292">
      <c r="C292" s="148"/>
      <c r="G292" s="148"/>
      <c r="J292" s="149"/>
      <c r="K292" s="149"/>
    </row>
    <row r="293">
      <c r="C293" s="148"/>
      <c r="G293" s="148"/>
      <c r="J293" s="149"/>
      <c r="K293" s="149"/>
    </row>
    <row r="294">
      <c r="C294" s="148"/>
      <c r="G294" s="148"/>
      <c r="J294" s="149"/>
      <c r="K294" s="149"/>
    </row>
    <row r="295">
      <c r="C295" s="148"/>
      <c r="G295" s="148"/>
      <c r="J295" s="149"/>
      <c r="K295" s="149"/>
    </row>
    <row r="296">
      <c r="C296" s="148"/>
      <c r="G296" s="148"/>
      <c r="J296" s="149"/>
      <c r="K296" s="149"/>
    </row>
    <row r="297">
      <c r="C297" s="148"/>
      <c r="G297" s="148"/>
      <c r="J297" s="149"/>
      <c r="K297" s="149"/>
    </row>
    <row r="298">
      <c r="C298" s="148"/>
      <c r="G298" s="148"/>
      <c r="J298" s="149"/>
      <c r="K298" s="149"/>
    </row>
    <row r="299">
      <c r="C299" s="148"/>
      <c r="G299" s="148"/>
      <c r="J299" s="149"/>
      <c r="K299" s="149"/>
    </row>
    <row r="300">
      <c r="C300" s="148"/>
      <c r="G300" s="148"/>
      <c r="J300" s="149"/>
      <c r="K300" s="149"/>
    </row>
    <row r="301">
      <c r="C301" s="148"/>
      <c r="G301" s="148"/>
      <c r="J301" s="149"/>
      <c r="K301" s="149"/>
    </row>
    <row r="302">
      <c r="C302" s="148"/>
      <c r="G302" s="148"/>
      <c r="J302" s="149"/>
      <c r="K302" s="149"/>
    </row>
    <row r="303">
      <c r="C303" s="148"/>
      <c r="G303" s="148"/>
      <c r="J303" s="149"/>
      <c r="K303" s="149"/>
    </row>
    <row r="304">
      <c r="C304" s="148"/>
      <c r="G304" s="148"/>
      <c r="J304" s="149"/>
      <c r="K304" s="149"/>
    </row>
    <row r="305">
      <c r="C305" s="148"/>
      <c r="G305" s="148"/>
      <c r="J305" s="149"/>
      <c r="K305" s="149"/>
    </row>
    <row r="306">
      <c r="C306" s="148"/>
      <c r="G306" s="148"/>
      <c r="J306" s="149"/>
      <c r="K306" s="149"/>
    </row>
    <row r="307">
      <c r="C307" s="148"/>
      <c r="G307" s="148"/>
      <c r="J307" s="149"/>
      <c r="K307" s="149"/>
    </row>
    <row r="308">
      <c r="C308" s="148"/>
      <c r="G308" s="148"/>
      <c r="J308" s="149"/>
      <c r="K308" s="149"/>
    </row>
    <row r="309">
      <c r="C309" s="148"/>
      <c r="G309" s="148"/>
      <c r="J309" s="149"/>
      <c r="K309" s="149"/>
    </row>
    <row r="310">
      <c r="C310" s="148"/>
      <c r="G310" s="148"/>
      <c r="J310" s="149"/>
      <c r="K310" s="149"/>
    </row>
    <row r="311">
      <c r="C311" s="148"/>
      <c r="G311" s="148"/>
      <c r="J311" s="149"/>
      <c r="K311" s="149"/>
    </row>
    <row r="312">
      <c r="C312" s="148"/>
      <c r="G312" s="148"/>
      <c r="J312" s="149"/>
      <c r="K312" s="149"/>
    </row>
    <row r="313">
      <c r="C313" s="148"/>
      <c r="G313" s="148"/>
      <c r="J313" s="149"/>
      <c r="K313" s="149"/>
    </row>
    <row r="314">
      <c r="C314" s="148"/>
      <c r="G314" s="148"/>
      <c r="J314" s="149"/>
      <c r="K314" s="149"/>
    </row>
    <row r="315">
      <c r="C315" s="148"/>
      <c r="G315" s="148"/>
      <c r="J315" s="149"/>
      <c r="K315" s="149"/>
    </row>
    <row r="316">
      <c r="C316" s="148"/>
      <c r="G316" s="148"/>
      <c r="J316" s="149"/>
      <c r="K316" s="149"/>
    </row>
    <row r="317">
      <c r="C317" s="148"/>
      <c r="G317" s="148"/>
      <c r="J317" s="149"/>
      <c r="K317" s="149"/>
    </row>
    <row r="318">
      <c r="C318" s="148"/>
      <c r="G318" s="148"/>
      <c r="J318" s="149"/>
      <c r="K318" s="149"/>
    </row>
    <row r="319">
      <c r="C319" s="148"/>
      <c r="G319" s="148"/>
      <c r="J319" s="149"/>
      <c r="K319" s="149"/>
    </row>
    <row r="320">
      <c r="C320" s="148"/>
      <c r="G320" s="148"/>
      <c r="J320" s="149"/>
      <c r="K320" s="149"/>
    </row>
    <row r="321">
      <c r="C321" s="148"/>
      <c r="G321" s="148"/>
      <c r="J321" s="149"/>
      <c r="K321" s="149"/>
    </row>
    <row r="322">
      <c r="C322" s="148"/>
      <c r="G322" s="148"/>
      <c r="J322" s="149"/>
      <c r="K322" s="149"/>
    </row>
    <row r="323">
      <c r="C323" s="148"/>
      <c r="G323" s="148"/>
      <c r="J323" s="149"/>
      <c r="K323" s="149"/>
    </row>
    <row r="324">
      <c r="C324" s="148"/>
      <c r="G324" s="148"/>
      <c r="J324" s="149"/>
      <c r="K324" s="149"/>
    </row>
    <row r="325">
      <c r="C325" s="148"/>
      <c r="G325" s="148"/>
      <c r="J325" s="149"/>
      <c r="K325" s="149"/>
    </row>
    <row r="326">
      <c r="C326" s="148"/>
      <c r="G326" s="148"/>
      <c r="J326" s="149"/>
      <c r="K326" s="149"/>
    </row>
    <row r="327">
      <c r="C327" s="148"/>
      <c r="G327" s="148"/>
      <c r="J327" s="149"/>
      <c r="K327" s="149"/>
    </row>
    <row r="328">
      <c r="C328" s="148"/>
      <c r="G328" s="148"/>
      <c r="J328" s="149"/>
      <c r="K328" s="149"/>
    </row>
    <row r="329">
      <c r="C329" s="148"/>
      <c r="G329" s="148"/>
      <c r="J329" s="149"/>
      <c r="K329" s="149"/>
    </row>
    <row r="330">
      <c r="C330" s="148"/>
      <c r="G330" s="148"/>
      <c r="J330" s="149"/>
      <c r="K330" s="149"/>
    </row>
    <row r="331">
      <c r="C331" s="148"/>
      <c r="G331" s="148"/>
      <c r="J331" s="149"/>
      <c r="K331" s="149"/>
    </row>
    <row r="332">
      <c r="C332" s="148"/>
      <c r="G332" s="148"/>
      <c r="J332" s="149"/>
      <c r="K332" s="149"/>
    </row>
    <row r="333">
      <c r="C333" s="148"/>
      <c r="G333" s="148"/>
      <c r="J333" s="149"/>
      <c r="K333" s="149"/>
    </row>
    <row r="334">
      <c r="C334" s="148"/>
      <c r="G334" s="148"/>
      <c r="J334" s="149"/>
      <c r="K334" s="149"/>
    </row>
    <row r="335">
      <c r="C335" s="148"/>
      <c r="G335" s="148"/>
      <c r="J335" s="149"/>
      <c r="K335" s="149"/>
    </row>
    <row r="336">
      <c r="C336" s="148"/>
      <c r="G336" s="148"/>
      <c r="J336" s="149"/>
      <c r="K336" s="149"/>
    </row>
    <row r="337">
      <c r="C337" s="148"/>
      <c r="G337" s="148"/>
      <c r="J337" s="149"/>
      <c r="K337" s="149"/>
    </row>
    <row r="338">
      <c r="C338" s="148"/>
      <c r="G338" s="148"/>
      <c r="J338" s="149"/>
      <c r="K338" s="149"/>
    </row>
    <row r="339">
      <c r="C339" s="148"/>
      <c r="G339" s="148"/>
      <c r="J339" s="149"/>
      <c r="K339" s="149"/>
    </row>
    <row r="340">
      <c r="C340" s="148"/>
      <c r="G340" s="148"/>
      <c r="J340" s="149"/>
      <c r="K340" s="149"/>
    </row>
    <row r="341">
      <c r="C341" s="148"/>
      <c r="G341" s="148"/>
      <c r="J341" s="149"/>
      <c r="K341" s="149"/>
    </row>
    <row r="342">
      <c r="C342" s="148"/>
      <c r="G342" s="148"/>
      <c r="J342" s="149"/>
      <c r="K342" s="149"/>
    </row>
    <row r="343">
      <c r="C343" s="148"/>
      <c r="G343" s="148"/>
      <c r="J343" s="149"/>
      <c r="K343" s="149"/>
    </row>
    <row r="344">
      <c r="C344" s="148"/>
      <c r="G344" s="148"/>
      <c r="J344" s="149"/>
      <c r="K344" s="149"/>
    </row>
    <row r="345">
      <c r="C345" s="148"/>
      <c r="G345" s="148"/>
      <c r="J345" s="149"/>
      <c r="K345" s="149"/>
    </row>
    <row r="346">
      <c r="C346" s="148"/>
      <c r="G346" s="148"/>
      <c r="J346" s="149"/>
      <c r="K346" s="149"/>
    </row>
    <row r="347">
      <c r="C347" s="148"/>
      <c r="G347" s="148"/>
      <c r="J347" s="149"/>
      <c r="K347" s="149"/>
    </row>
    <row r="348">
      <c r="C348" s="148"/>
      <c r="G348" s="148"/>
      <c r="J348" s="149"/>
      <c r="K348" s="149"/>
    </row>
    <row r="349">
      <c r="C349" s="148"/>
      <c r="G349" s="148"/>
      <c r="J349" s="149"/>
      <c r="K349" s="149"/>
    </row>
    <row r="350">
      <c r="C350" s="148"/>
      <c r="G350" s="148"/>
      <c r="J350" s="149"/>
      <c r="K350" s="149"/>
    </row>
    <row r="351">
      <c r="C351" s="148"/>
      <c r="G351" s="148"/>
      <c r="J351" s="149"/>
      <c r="K351" s="149"/>
    </row>
    <row r="352">
      <c r="C352" s="148"/>
      <c r="G352" s="148"/>
      <c r="J352" s="149"/>
      <c r="K352" s="149"/>
    </row>
    <row r="353">
      <c r="C353" s="148"/>
      <c r="G353" s="148"/>
      <c r="J353" s="149"/>
      <c r="K353" s="149"/>
    </row>
    <row r="354">
      <c r="C354" s="148"/>
      <c r="G354" s="148"/>
      <c r="J354" s="149"/>
      <c r="K354" s="149"/>
    </row>
    <row r="355">
      <c r="C355" s="148"/>
      <c r="G355" s="148"/>
      <c r="J355" s="149"/>
      <c r="K355" s="149"/>
    </row>
    <row r="356">
      <c r="C356" s="148"/>
      <c r="G356" s="148"/>
      <c r="J356" s="149"/>
      <c r="K356" s="149"/>
    </row>
    <row r="357">
      <c r="C357" s="148"/>
      <c r="G357" s="148"/>
      <c r="J357" s="149"/>
      <c r="K357" s="149"/>
    </row>
    <row r="358">
      <c r="C358" s="148"/>
      <c r="G358" s="148"/>
      <c r="J358" s="149"/>
      <c r="K358" s="149"/>
    </row>
    <row r="359">
      <c r="C359" s="148"/>
      <c r="G359" s="148"/>
      <c r="J359" s="149"/>
      <c r="K359" s="149"/>
    </row>
    <row r="360">
      <c r="C360" s="148"/>
      <c r="G360" s="148"/>
      <c r="J360" s="149"/>
      <c r="K360" s="149"/>
    </row>
    <row r="361">
      <c r="C361" s="148"/>
      <c r="G361" s="148"/>
      <c r="J361" s="149"/>
      <c r="K361" s="149"/>
    </row>
    <row r="362">
      <c r="C362" s="148"/>
      <c r="G362" s="148"/>
      <c r="J362" s="149"/>
      <c r="K362" s="149"/>
    </row>
    <row r="363">
      <c r="C363" s="148"/>
      <c r="G363" s="148"/>
      <c r="J363" s="149"/>
      <c r="K363" s="149"/>
    </row>
    <row r="364">
      <c r="C364" s="148"/>
      <c r="G364" s="148"/>
      <c r="J364" s="149"/>
      <c r="K364" s="149"/>
    </row>
    <row r="365">
      <c r="C365" s="148"/>
      <c r="G365" s="148"/>
      <c r="J365" s="149"/>
      <c r="K365" s="149"/>
    </row>
    <row r="366">
      <c r="C366" s="148"/>
      <c r="G366" s="148"/>
      <c r="J366" s="149"/>
      <c r="K366" s="149"/>
    </row>
    <row r="367">
      <c r="C367" s="148"/>
      <c r="G367" s="148"/>
      <c r="J367" s="149"/>
      <c r="K367" s="149"/>
    </row>
    <row r="368">
      <c r="C368" s="148"/>
      <c r="G368" s="148"/>
      <c r="J368" s="149"/>
      <c r="K368" s="149"/>
    </row>
    <row r="369">
      <c r="C369" s="148"/>
      <c r="G369" s="148"/>
      <c r="J369" s="149"/>
      <c r="K369" s="149"/>
    </row>
    <row r="370">
      <c r="C370" s="148"/>
      <c r="G370" s="148"/>
      <c r="J370" s="149"/>
      <c r="K370" s="149"/>
    </row>
    <row r="371">
      <c r="C371" s="148"/>
      <c r="G371" s="148"/>
      <c r="J371" s="149"/>
      <c r="K371" s="149"/>
    </row>
    <row r="372">
      <c r="C372" s="148"/>
      <c r="G372" s="148"/>
      <c r="J372" s="149"/>
      <c r="K372" s="149"/>
    </row>
    <row r="373">
      <c r="C373" s="148"/>
      <c r="G373" s="148"/>
      <c r="J373" s="149"/>
      <c r="K373" s="149"/>
    </row>
    <row r="374">
      <c r="C374" s="148"/>
      <c r="G374" s="148"/>
      <c r="J374" s="149"/>
      <c r="K374" s="149"/>
    </row>
    <row r="375">
      <c r="C375" s="148"/>
      <c r="G375" s="148"/>
      <c r="J375" s="149"/>
      <c r="K375" s="149"/>
    </row>
    <row r="376">
      <c r="C376" s="148"/>
      <c r="G376" s="148"/>
      <c r="J376" s="149"/>
      <c r="K376" s="149"/>
    </row>
    <row r="377">
      <c r="C377" s="148"/>
      <c r="G377" s="148"/>
      <c r="J377" s="149"/>
      <c r="K377" s="149"/>
    </row>
    <row r="378">
      <c r="C378" s="148"/>
      <c r="G378" s="148"/>
      <c r="J378" s="149"/>
      <c r="K378" s="149"/>
    </row>
    <row r="379">
      <c r="C379" s="148"/>
      <c r="G379" s="148"/>
      <c r="J379" s="149"/>
      <c r="K379" s="149"/>
    </row>
    <row r="380">
      <c r="C380" s="148"/>
      <c r="G380" s="148"/>
      <c r="J380" s="149"/>
      <c r="K380" s="149"/>
    </row>
    <row r="381">
      <c r="C381" s="148"/>
      <c r="G381" s="148"/>
      <c r="J381" s="149"/>
      <c r="K381" s="149"/>
    </row>
    <row r="382">
      <c r="C382" s="148"/>
      <c r="G382" s="148"/>
      <c r="J382" s="149"/>
      <c r="K382" s="149"/>
    </row>
    <row r="383">
      <c r="C383" s="148"/>
      <c r="G383" s="148"/>
      <c r="J383" s="149"/>
      <c r="K383" s="149"/>
    </row>
    <row r="384">
      <c r="C384" s="148"/>
      <c r="G384" s="148"/>
      <c r="J384" s="149"/>
      <c r="K384" s="149"/>
    </row>
    <row r="385">
      <c r="C385" s="148"/>
      <c r="G385" s="148"/>
      <c r="J385" s="149"/>
      <c r="K385" s="149"/>
    </row>
    <row r="386">
      <c r="C386" s="148"/>
      <c r="G386" s="148"/>
      <c r="J386" s="149"/>
      <c r="K386" s="149"/>
    </row>
    <row r="387">
      <c r="C387" s="148"/>
      <c r="G387" s="148"/>
      <c r="J387" s="149"/>
      <c r="K387" s="149"/>
    </row>
    <row r="388">
      <c r="C388" s="148"/>
      <c r="G388" s="148"/>
      <c r="J388" s="149"/>
      <c r="K388" s="149"/>
    </row>
    <row r="389">
      <c r="C389" s="148"/>
      <c r="G389" s="148"/>
      <c r="J389" s="149"/>
      <c r="K389" s="149"/>
    </row>
    <row r="390">
      <c r="C390" s="148"/>
      <c r="G390" s="148"/>
      <c r="J390" s="149"/>
      <c r="K390" s="149"/>
    </row>
    <row r="391">
      <c r="C391" s="148"/>
      <c r="G391" s="148"/>
      <c r="J391" s="149"/>
      <c r="K391" s="149"/>
    </row>
    <row r="392">
      <c r="C392" s="148"/>
      <c r="G392" s="148"/>
      <c r="J392" s="149"/>
      <c r="K392" s="149"/>
    </row>
    <row r="393">
      <c r="C393" s="148"/>
      <c r="G393" s="148"/>
      <c r="J393" s="149"/>
      <c r="K393" s="149"/>
    </row>
    <row r="394">
      <c r="C394" s="148"/>
      <c r="G394" s="148"/>
      <c r="J394" s="149"/>
      <c r="K394" s="149"/>
    </row>
    <row r="395">
      <c r="C395" s="148"/>
      <c r="G395" s="148"/>
      <c r="J395" s="149"/>
      <c r="K395" s="149"/>
    </row>
    <row r="396">
      <c r="C396" s="148"/>
      <c r="G396" s="148"/>
      <c r="J396" s="149"/>
      <c r="K396" s="149"/>
    </row>
    <row r="397">
      <c r="C397" s="148"/>
      <c r="G397" s="148"/>
      <c r="J397" s="149"/>
      <c r="K397" s="149"/>
    </row>
    <row r="398">
      <c r="C398" s="148"/>
      <c r="G398" s="148"/>
      <c r="J398" s="149"/>
      <c r="K398" s="149"/>
    </row>
    <row r="399">
      <c r="C399" s="148"/>
      <c r="G399" s="148"/>
      <c r="J399" s="149"/>
      <c r="K399" s="149"/>
    </row>
    <row r="400">
      <c r="C400" s="148"/>
      <c r="G400" s="148"/>
      <c r="J400" s="149"/>
      <c r="K400" s="149"/>
    </row>
    <row r="401">
      <c r="C401" s="148"/>
      <c r="G401" s="148"/>
      <c r="J401" s="149"/>
      <c r="K401" s="149"/>
    </row>
    <row r="402">
      <c r="C402" s="148"/>
      <c r="G402" s="148"/>
      <c r="J402" s="149"/>
      <c r="K402" s="149"/>
    </row>
    <row r="403">
      <c r="C403" s="148"/>
      <c r="G403" s="148"/>
      <c r="J403" s="149"/>
      <c r="K403" s="149"/>
    </row>
    <row r="404">
      <c r="C404" s="148"/>
      <c r="G404" s="148"/>
      <c r="J404" s="149"/>
      <c r="K404" s="149"/>
    </row>
    <row r="405">
      <c r="C405" s="148"/>
      <c r="G405" s="148"/>
      <c r="J405" s="149"/>
      <c r="K405" s="149"/>
    </row>
    <row r="406">
      <c r="C406" s="148"/>
      <c r="G406" s="148"/>
      <c r="J406" s="149"/>
      <c r="K406" s="149"/>
    </row>
    <row r="407">
      <c r="C407" s="148"/>
      <c r="G407" s="148"/>
      <c r="J407" s="149"/>
      <c r="K407" s="149"/>
    </row>
    <row r="408">
      <c r="C408" s="148"/>
      <c r="G408" s="148"/>
      <c r="J408" s="149"/>
      <c r="K408" s="149"/>
    </row>
    <row r="409">
      <c r="C409" s="148"/>
      <c r="G409" s="148"/>
      <c r="J409" s="149"/>
      <c r="K409" s="149"/>
    </row>
    <row r="410">
      <c r="C410" s="148"/>
      <c r="G410" s="148"/>
      <c r="J410" s="149"/>
      <c r="K410" s="149"/>
    </row>
    <row r="411">
      <c r="C411" s="148"/>
      <c r="G411" s="148"/>
      <c r="J411" s="149"/>
      <c r="K411" s="149"/>
    </row>
    <row r="412">
      <c r="C412" s="148"/>
      <c r="G412" s="148"/>
      <c r="J412" s="149"/>
      <c r="K412" s="149"/>
    </row>
    <row r="413">
      <c r="C413" s="148"/>
      <c r="G413" s="148"/>
      <c r="J413" s="149"/>
      <c r="K413" s="149"/>
    </row>
    <row r="414">
      <c r="C414" s="148"/>
      <c r="G414" s="148"/>
      <c r="J414" s="149"/>
      <c r="K414" s="149"/>
    </row>
    <row r="415">
      <c r="C415" s="148"/>
      <c r="G415" s="148"/>
      <c r="J415" s="149"/>
      <c r="K415" s="149"/>
    </row>
    <row r="416">
      <c r="C416" s="148"/>
      <c r="G416" s="148"/>
      <c r="J416" s="149"/>
      <c r="K416" s="149"/>
    </row>
    <row r="417">
      <c r="C417" s="148"/>
      <c r="G417" s="148"/>
      <c r="J417" s="149"/>
      <c r="K417" s="149"/>
    </row>
    <row r="418">
      <c r="C418" s="148"/>
      <c r="G418" s="148"/>
      <c r="J418" s="149"/>
      <c r="K418" s="149"/>
    </row>
    <row r="419">
      <c r="C419" s="148"/>
      <c r="G419" s="148"/>
      <c r="J419" s="149"/>
      <c r="K419" s="149"/>
    </row>
    <row r="420">
      <c r="C420" s="148"/>
      <c r="G420" s="148"/>
      <c r="J420" s="149"/>
      <c r="K420" s="149"/>
    </row>
    <row r="421">
      <c r="C421" s="148"/>
      <c r="G421" s="148"/>
      <c r="J421" s="149"/>
      <c r="K421" s="149"/>
    </row>
    <row r="422">
      <c r="C422" s="148"/>
      <c r="G422" s="148"/>
      <c r="J422" s="149"/>
      <c r="K422" s="149"/>
    </row>
    <row r="423">
      <c r="C423" s="148"/>
      <c r="G423" s="148"/>
      <c r="J423" s="149"/>
      <c r="K423" s="149"/>
    </row>
    <row r="424">
      <c r="C424" s="148"/>
      <c r="G424" s="148"/>
      <c r="J424" s="149"/>
      <c r="K424" s="149"/>
    </row>
    <row r="425">
      <c r="C425" s="148"/>
      <c r="G425" s="148"/>
      <c r="J425" s="149"/>
      <c r="K425" s="149"/>
    </row>
    <row r="426">
      <c r="C426" s="148"/>
      <c r="G426" s="148"/>
      <c r="J426" s="149"/>
      <c r="K426" s="149"/>
    </row>
    <row r="427">
      <c r="C427" s="148"/>
      <c r="G427" s="148"/>
      <c r="J427" s="149"/>
      <c r="K427" s="149"/>
    </row>
    <row r="428">
      <c r="C428" s="148"/>
      <c r="G428" s="148"/>
      <c r="J428" s="149"/>
      <c r="K428" s="149"/>
    </row>
    <row r="429">
      <c r="C429" s="148"/>
      <c r="G429" s="148"/>
      <c r="J429" s="149"/>
      <c r="K429" s="149"/>
    </row>
    <row r="430">
      <c r="C430" s="148"/>
      <c r="G430" s="148"/>
      <c r="J430" s="149"/>
      <c r="K430" s="149"/>
    </row>
    <row r="431">
      <c r="C431" s="148"/>
      <c r="G431" s="148"/>
      <c r="J431" s="149"/>
      <c r="K431" s="149"/>
    </row>
    <row r="432">
      <c r="C432" s="148"/>
      <c r="G432" s="148"/>
      <c r="J432" s="149"/>
      <c r="K432" s="149"/>
    </row>
    <row r="433">
      <c r="C433" s="148"/>
      <c r="G433" s="148"/>
      <c r="J433" s="149"/>
      <c r="K433" s="149"/>
    </row>
    <row r="434">
      <c r="C434" s="148"/>
      <c r="G434" s="148"/>
      <c r="J434" s="149"/>
      <c r="K434" s="149"/>
    </row>
    <row r="435">
      <c r="C435" s="148"/>
      <c r="G435" s="148"/>
      <c r="J435" s="149"/>
      <c r="K435" s="149"/>
    </row>
    <row r="436">
      <c r="C436" s="148"/>
      <c r="G436" s="148"/>
      <c r="J436" s="149"/>
      <c r="K436" s="149"/>
    </row>
    <row r="437">
      <c r="C437" s="148"/>
      <c r="G437" s="148"/>
      <c r="J437" s="149"/>
      <c r="K437" s="149"/>
    </row>
    <row r="438">
      <c r="C438" s="148"/>
      <c r="G438" s="148"/>
      <c r="J438" s="149"/>
      <c r="K438" s="149"/>
    </row>
    <row r="439">
      <c r="C439" s="148"/>
      <c r="G439" s="148"/>
      <c r="J439" s="149"/>
      <c r="K439" s="149"/>
    </row>
    <row r="440">
      <c r="C440" s="148"/>
      <c r="G440" s="148"/>
      <c r="J440" s="149"/>
      <c r="K440" s="149"/>
    </row>
    <row r="441">
      <c r="C441" s="148"/>
      <c r="G441" s="148"/>
      <c r="J441" s="149"/>
      <c r="K441" s="149"/>
    </row>
    <row r="442">
      <c r="C442" s="148"/>
      <c r="G442" s="148"/>
      <c r="J442" s="149"/>
      <c r="K442" s="149"/>
    </row>
    <row r="443">
      <c r="C443" s="148"/>
      <c r="G443" s="148"/>
      <c r="J443" s="149"/>
      <c r="K443" s="149"/>
    </row>
    <row r="444">
      <c r="C444" s="148"/>
      <c r="G444" s="148"/>
      <c r="J444" s="149"/>
      <c r="K444" s="149"/>
    </row>
    <row r="445">
      <c r="C445" s="148"/>
      <c r="G445" s="148"/>
      <c r="J445" s="149"/>
      <c r="K445" s="149"/>
    </row>
    <row r="446">
      <c r="C446" s="148"/>
      <c r="G446" s="148"/>
      <c r="J446" s="149"/>
      <c r="K446" s="149"/>
    </row>
    <row r="447">
      <c r="C447" s="148"/>
      <c r="G447" s="148"/>
      <c r="J447" s="149"/>
      <c r="K447" s="149"/>
    </row>
    <row r="448">
      <c r="C448" s="148"/>
      <c r="G448" s="148"/>
      <c r="J448" s="149"/>
      <c r="K448" s="149"/>
    </row>
    <row r="449">
      <c r="C449" s="148"/>
      <c r="G449" s="148"/>
      <c r="J449" s="149"/>
      <c r="K449" s="149"/>
    </row>
    <row r="450">
      <c r="C450" s="148"/>
      <c r="G450" s="148"/>
      <c r="J450" s="149"/>
      <c r="K450" s="149"/>
    </row>
    <row r="451">
      <c r="C451" s="148"/>
      <c r="G451" s="148"/>
      <c r="J451" s="149"/>
      <c r="K451" s="149"/>
    </row>
    <row r="452">
      <c r="C452" s="148"/>
      <c r="G452" s="148"/>
      <c r="J452" s="149"/>
      <c r="K452" s="149"/>
    </row>
    <row r="453">
      <c r="C453" s="148"/>
      <c r="G453" s="148"/>
      <c r="J453" s="149"/>
      <c r="K453" s="149"/>
    </row>
    <row r="454">
      <c r="C454" s="148"/>
      <c r="G454" s="148"/>
      <c r="J454" s="149"/>
      <c r="K454" s="149"/>
    </row>
    <row r="455">
      <c r="C455" s="148"/>
      <c r="G455" s="148"/>
      <c r="J455" s="149"/>
      <c r="K455" s="149"/>
    </row>
    <row r="456">
      <c r="C456" s="148"/>
      <c r="G456" s="148"/>
      <c r="J456" s="149"/>
      <c r="K456" s="149"/>
    </row>
    <row r="457">
      <c r="C457" s="148"/>
      <c r="G457" s="148"/>
      <c r="J457" s="149"/>
      <c r="K457" s="149"/>
    </row>
    <row r="458">
      <c r="C458" s="148"/>
      <c r="G458" s="148"/>
      <c r="J458" s="149"/>
      <c r="K458" s="149"/>
    </row>
    <row r="459">
      <c r="C459" s="148"/>
      <c r="G459" s="148"/>
      <c r="J459" s="149"/>
      <c r="K459" s="149"/>
    </row>
    <row r="460">
      <c r="C460" s="148"/>
      <c r="G460" s="148"/>
      <c r="J460" s="149"/>
      <c r="K460" s="149"/>
    </row>
    <row r="461">
      <c r="C461" s="148"/>
      <c r="G461" s="148"/>
      <c r="J461" s="149"/>
      <c r="K461" s="149"/>
    </row>
    <row r="462">
      <c r="C462" s="148"/>
      <c r="G462" s="148"/>
      <c r="J462" s="149"/>
      <c r="K462" s="149"/>
    </row>
    <row r="463">
      <c r="C463" s="148"/>
      <c r="G463" s="148"/>
      <c r="J463" s="149"/>
      <c r="K463" s="149"/>
    </row>
    <row r="464">
      <c r="C464" s="148"/>
      <c r="G464" s="148"/>
      <c r="J464" s="149"/>
      <c r="K464" s="149"/>
    </row>
    <row r="465">
      <c r="C465" s="148"/>
      <c r="G465" s="148"/>
      <c r="J465" s="149"/>
      <c r="K465" s="149"/>
    </row>
    <row r="466">
      <c r="C466" s="148"/>
      <c r="G466" s="148"/>
      <c r="J466" s="149"/>
      <c r="K466" s="149"/>
    </row>
    <row r="467">
      <c r="C467" s="148"/>
      <c r="G467" s="148"/>
      <c r="J467" s="149"/>
      <c r="K467" s="149"/>
    </row>
    <row r="468">
      <c r="C468" s="148"/>
      <c r="G468" s="148"/>
      <c r="J468" s="149"/>
      <c r="K468" s="149"/>
    </row>
    <row r="469">
      <c r="C469" s="148"/>
      <c r="G469" s="148"/>
      <c r="J469" s="149"/>
      <c r="K469" s="149"/>
    </row>
    <row r="470">
      <c r="C470" s="148"/>
      <c r="G470" s="148"/>
      <c r="J470" s="149"/>
      <c r="K470" s="149"/>
    </row>
    <row r="471">
      <c r="C471" s="148"/>
      <c r="G471" s="148"/>
      <c r="J471" s="149"/>
      <c r="K471" s="149"/>
    </row>
    <row r="472">
      <c r="C472" s="148"/>
      <c r="G472" s="148"/>
      <c r="J472" s="149"/>
      <c r="K472" s="149"/>
    </row>
    <row r="473">
      <c r="C473" s="148"/>
      <c r="G473" s="148"/>
      <c r="J473" s="149"/>
      <c r="K473" s="149"/>
    </row>
    <row r="474">
      <c r="C474" s="148"/>
      <c r="G474" s="148"/>
      <c r="J474" s="149"/>
      <c r="K474" s="149"/>
    </row>
    <row r="475">
      <c r="C475" s="148"/>
      <c r="G475" s="148"/>
      <c r="J475" s="149"/>
      <c r="K475" s="149"/>
    </row>
    <row r="476">
      <c r="C476" s="148"/>
      <c r="G476" s="148"/>
      <c r="J476" s="149"/>
      <c r="K476" s="149"/>
    </row>
    <row r="477">
      <c r="C477" s="148"/>
      <c r="G477" s="148"/>
      <c r="J477" s="149"/>
      <c r="K477" s="149"/>
    </row>
    <row r="478">
      <c r="C478" s="148"/>
      <c r="G478" s="148"/>
      <c r="J478" s="149"/>
      <c r="K478" s="149"/>
    </row>
    <row r="479">
      <c r="C479" s="148"/>
      <c r="G479" s="148"/>
      <c r="J479" s="149"/>
      <c r="K479" s="149"/>
    </row>
    <row r="480">
      <c r="C480" s="148"/>
      <c r="G480" s="148"/>
      <c r="J480" s="149"/>
      <c r="K480" s="149"/>
    </row>
    <row r="481">
      <c r="C481" s="148"/>
      <c r="G481" s="148"/>
      <c r="J481" s="149"/>
      <c r="K481" s="149"/>
    </row>
    <row r="482">
      <c r="C482" s="148"/>
      <c r="G482" s="148"/>
      <c r="J482" s="149"/>
      <c r="K482" s="149"/>
    </row>
    <row r="483">
      <c r="C483" s="148"/>
      <c r="G483" s="148"/>
      <c r="J483" s="149"/>
      <c r="K483" s="149"/>
    </row>
    <row r="484">
      <c r="C484" s="148"/>
      <c r="G484" s="148"/>
      <c r="J484" s="149"/>
      <c r="K484" s="149"/>
    </row>
    <row r="485">
      <c r="C485" s="148"/>
      <c r="G485" s="148"/>
      <c r="J485" s="149"/>
      <c r="K485" s="149"/>
    </row>
    <row r="486">
      <c r="C486" s="148"/>
      <c r="G486" s="148"/>
      <c r="J486" s="149"/>
      <c r="K486" s="149"/>
    </row>
    <row r="487">
      <c r="C487" s="148"/>
      <c r="G487" s="148"/>
      <c r="J487" s="149"/>
      <c r="K487" s="149"/>
    </row>
    <row r="488">
      <c r="C488" s="148"/>
      <c r="G488" s="148"/>
      <c r="J488" s="149"/>
      <c r="K488" s="149"/>
    </row>
    <row r="489">
      <c r="C489" s="148"/>
      <c r="G489" s="148"/>
      <c r="J489" s="149"/>
      <c r="K489" s="149"/>
    </row>
    <row r="490">
      <c r="C490" s="148"/>
      <c r="G490" s="148"/>
      <c r="J490" s="149"/>
      <c r="K490" s="149"/>
    </row>
    <row r="491">
      <c r="C491" s="148"/>
      <c r="G491" s="148"/>
      <c r="J491" s="149"/>
      <c r="K491" s="149"/>
    </row>
    <row r="492">
      <c r="C492" s="148"/>
      <c r="G492" s="148"/>
      <c r="J492" s="149"/>
      <c r="K492" s="149"/>
    </row>
    <row r="493">
      <c r="C493" s="148"/>
      <c r="G493" s="148"/>
      <c r="J493" s="149"/>
      <c r="K493" s="149"/>
    </row>
    <row r="494">
      <c r="C494" s="148"/>
      <c r="G494" s="148"/>
      <c r="J494" s="149"/>
      <c r="K494" s="149"/>
    </row>
    <row r="495">
      <c r="C495" s="148"/>
      <c r="G495" s="148"/>
      <c r="J495" s="149"/>
      <c r="K495" s="149"/>
    </row>
    <row r="496">
      <c r="C496" s="148"/>
      <c r="G496" s="148"/>
      <c r="J496" s="149"/>
      <c r="K496" s="149"/>
    </row>
    <row r="497">
      <c r="C497" s="148"/>
      <c r="G497" s="148"/>
      <c r="J497" s="149"/>
      <c r="K497" s="149"/>
    </row>
    <row r="498">
      <c r="C498" s="148"/>
      <c r="G498" s="148"/>
      <c r="J498" s="149"/>
      <c r="K498" s="149"/>
    </row>
    <row r="499">
      <c r="C499" s="148"/>
      <c r="G499" s="148"/>
      <c r="J499" s="149"/>
      <c r="K499" s="149"/>
    </row>
    <row r="500">
      <c r="C500" s="148"/>
      <c r="G500" s="148"/>
      <c r="J500" s="149"/>
      <c r="K500" s="149"/>
    </row>
    <row r="501">
      <c r="C501" s="148"/>
      <c r="G501" s="148"/>
      <c r="J501" s="149"/>
      <c r="K501" s="149"/>
    </row>
    <row r="502">
      <c r="C502" s="148"/>
      <c r="G502" s="148"/>
      <c r="J502" s="149"/>
      <c r="K502" s="149"/>
    </row>
    <row r="503">
      <c r="C503" s="148"/>
      <c r="G503" s="148"/>
      <c r="J503" s="149"/>
      <c r="K503" s="149"/>
    </row>
    <row r="504">
      <c r="C504" s="148"/>
      <c r="G504" s="148"/>
      <c r="J504" s="149"/>
      <c r="K504" s="149"/>
    </row>
    <row r="505">
      <c r="C505" s="148"/>
      <c r="G505" s="148"/>
      <c r="J505" s="149"/>
      <c r="K505" s="149"/>
    </row>
    <row r="506">
      <c r="C506" s="148"/>
      <c r="G506" s="148"/>
      <c r="J506" s="149"/>
      <c r="K506" s="149"/>
    </row>
    <row r="507">
      <c r="C507" s="148"/>
      <c r="G507" s="148"/>
      <c r="J507" s="149"/>
      <c r="K507" s="149"/>
    </row>
    <row r="508">
      <c r="C508" s="148"/>
      <c r="G508" s="148"/>
      <c r="J508" s="149"/>
      <c r="K508" s="149"/>
    </row>
    <row r="509">
      <c r="C509" s="148"/>
      <c r="G509" s="148"/>
      <c r="J509" s="149"/>
      <c r="K509" s="149"/>
    </row>
    <row r="510">
      <c r="C510" s="148"/>
      <c r="G510" s="148"/>
      <c r="J510" s="149"/>
      <c r="K510" s="149"/>
    </row>
    <row r="511">
      <c r="C511" s="148"/>
      <c r="G511" s="148"/>
      <c r="J511" s="149"/>
      <c r="K511" s="149"/>
    </row>
    <row r="512">
      <c r="C512" s="148"/>
      <c r="G512" s="148"/>
      <c r="J512" s="149"/>
      <c r="K512" s="149"/>
    </row>
    <row r="513">
      <c r="C513" s="148"/>
      <c r="G513" s="148"/>
      <c r="J513" s="149"/>
      <c r="K513" s="149"/>
    </row>
    <row r="514">
      <c r="C514" s="148"/>
      <c r="G514" s="148"/>
      <c r="J514" s="149"/>
      <c r="K514" s="149"/>
    </row>
    <row r="515">
      <c r="C515" s="148"/>
      <c r="G515" s="148"/>
      <c r="J515" s="149"/>
      <c r="K515" s="149"/>
    </row>
    <row r="516">
      <c r="C516" s="148"/>
      <c r="G516" s="148"/>
      <c r="J516" s="149"/>
      <c r="K516" s="149"/>
    </row>
    <row r="517">
      <c r="C517" s="148"/>
      <c r="G517" s="148"/>
      <c r="J517" s="149"/>
      <c r="K517" s="149"/>
    </row>
    <row r="518">
      <c r="C518" s="148"/>
      <c r="G518" s="148"/>
      <c r="J518" s="149"/>
      <c r="K518" s="149"/>
    </row>
    <row r="519">
      <c r="C519" s="148"/>
      <c r="G519" s="148"/>
      <c r="J519" s="149"/>
      <c r="K519" s="149"/>
    </row>
    <row r="520">
      <c r="C520" s="148"/>
      <c r="G520" s="148"/>
      <c r="J520" s="149"/>
      <c r="K520" s="149"/>
    </row>
    <row r="521">
      <c r="C521" s="148"/>
      <c r="G521" s="148"/>
      <c r="J521" s="149"/>
      <c r="K521" s="149"/>
    </row>
    <row r="522">
      <c r="C522" s="148"/>
      <c r="G522" s="148"/>
      <c r="J522" s="149"/>
      <c r="K522" s="149"/>
    </row>
    <row r="523">
      <c r="C523" s="148"/>
      <c r="G523" s="148"/>
      <c r="J523" s="149"/>
      <c r="K523" s="149"/>
    </row>
    <row r="524">
      <c r="C524" s="148"/>
      <c r="G524" s="148"/>
      <c r="J524" s="149"/>
      <c r="K524" s="149"/>
    </row>
    <row r="525">
      <c r="C525" s="148"/>
      <c r="G525" s="148"/>
      <c r="J525" s="149"/>
      <c r="K525" s="149"/>
    </row>
    <row r="526">
      <c r="C526" s="148"/>
      <c r="G526" s="148"/>
      <c r="J526" s="149"/>
      <c r="K526" s="149"/>
    </row>
    <row r="527">
      <c r="C527" s="148"/>
      <c r="G527" s="148"/>
      <c r="J527" s="149"/>
      <c r="K527" s="149"/>
    </row>
    <row r="528">
      <c r="C528" s="148"/>
      <c r="G528" s="148"/>
      <c r="J528" s="149"/>
      <c r="K528" s="149"/>
    </row>
    <row r="529">
      <c r="C529" s="148"/>
      <c r="G529" s="148"/>
      <c r="J529" s="149"/>
      <c r="K529" s="149"/>
    </row>
    <row r="530">
      <c r="C530" s="148"/>
      <c r="G530" s="148"/>
      <c r="J530" s="149"/>
      <c r="K530" s="149"/>
    </row>
    <row r="531">
      <c r="C531" s="148"/>
      <c r="G531" s="148"/>
      <c r="J531" s="149"/>
      <c r="K531" s="149"/>
    </row>
    <row r="532">
      <c r="C532" s="148"/>
      <c r="G532" s="148"/>
      <c r="J532" s="149"/>
      <c r="K532" s="149"/>
    </row>
    <row r="533">
      <c r="C533" s="148"/>
      <c r="G533" s="148"/>
      <c r="J533" s="149"/>
      <c r="K533" s="149"/>
    </row>
    <row r="534">
      <c r="C534" s="148"/>
      <c r="G534" s="148"/>
      <c r="J534" s="149"/>
      <c r="K534" s="149"/>
    </row>
    <row r="535">
      <c r="C535" s="148"/>
      <c r="G535" s="148"/>
      <c r="J535" s="149"/>
      <c r="K535" s="149"/>
    </row>
    <row r="536">
      <c r="C536" s="148"/>
      <c r="G536" s="148"/>
      <c r="J536" s="149"/>
      <c r="K536" s="149"/>
    </row>
    <row r="537">
      <c r="C537" s="148"/>
      <c r="G537" s="148"/>
      <c r="J537" s="149"/>
      <c r="K537" s="149"/>
    </row>
    <row r="538">
      <c r="C538" s="148"/>
      <c r="G538" s="148"/>
      <c r="J538" s="149"/>
      <c r="K538" s="149"/>
    </row>
    <row r="539">
      <c r="C539" s="148"/>
      <c r="G539" s="148"/>
      <c r="J539" s="149"/>
      <c r="K539" s="149"/>
    </row>
    <row r="540">
      <c r="C540" s="148"/>
      <c r="G540" s="148"/>
      <c r="J540" s="149"/>
      <c r="K540" s="149"/>
    </row>
    <row r="541">
      <c r="C541" s="148"/>
      <c r="G541" s="148"/>
      <c r="J541" s="149"/>
      <c r="K541" s="149"/>
    </row>
    <row r="542">
      <c r="C542" s="148"/>
      <c r="G542" s="148"/>
      <c r="J542" s="149"/>
      <c r="K542" s="149"/>
    </row>
    <row r="543">
      <c r="C543" s="148"/>
      <c r="G543" s="148"/>
      <c r="J543" s="149"/>
      <c r="K543" s="149"/>
    </row>
    <row r="544">
      <c r="C544" s="148"/>
      <c r="G544" s="148"/>
      <c r="J544" s="149"/>
      <c r="K544" s="149"/>
    </row>
    <row r="545">
      <c r="C545" s="148"/>
      <c r="G545" s="148"/>
      <c r="J545" s="149"/>
      <c r="K545" s="149"/>
    </row>
    <row r="546">
      <c r="C546" s="148"/>
      <c r="G546" s="148"/>
      <c r="J546" s="149"/>
      <c r="K546" s="149"/>
    </row>
    <row r="547">
      <c r="C547" s="148"/>
      <c r="G547" s="148"/>
      <c r="J547" s="149"/>
      <c r="K547" s="149"/>
    </row>
    <row r="548">
      <c r="C548" s="148"/>
      <c r="G548" s="148"/>
      <c r="J548" s="149"/>
      <c r="K548" s="149"/>
    </row>
    <row r="549">
      <c r="C549" s="148"/>
      <c r="G549" s="148"/>
      <c r="J549" s="149"/>
      <c r="K549" s="149"/>
    </row>
    <row r="550">
      <c r="C550" s="148"/>
      <c r="G550" s="148"/>
      <c r="J550" s="149"/>
      <c r="K550" s="149"/>
    </row>
    <row r="551">
      <c r="C551" s="148"/>
      <c r="G551" s="148"/>
      <c r="J551" s="149"/>
      <c r="K551" s="149"/>
    </row>
    <row r="552">
      <c r="C552" s="148"/>
      <c r="G552" s="148"/>
      <c r="J552" s="149"/>
      <c r="K552" s="149"/>
    </row>
    <row r="553">
      <c r="C553" s="148"/>
      <c r="G553" s="148"/>
      <c r="J553" s="149"/>
      <c r="K553" s="149"/>
    </row>
    <row r="554">
      <c r="C554" s="148"/>
      <c r="G554" s="148"/>
      <c r="J554" s="149"/>
      <c r="K554" s="149"/>
    </row>
    <row r="555">
      <c r="C555" s="148"/>
      <c r="G555" s="148"/>
      <c r="J555" s="149"/>
      <c r="K555" s="149"/>
    </row>
    <row r="556">
      <c r="C556" s="148"/>
      <c r="G556" s="148"/>
      <c r="J556" s="149"/>
      <c r="K556" s="149"/>
    </row>
    <row r="557">
      <c r="C557" s="148"/>
      <c r="G557" s="148"/>
      <c r="J557" s="149"/>
      <c r="K557" s="149"/>
    </row>
    <row r="558">
      <c r="C558" s="148"/>
      <c r="G558" s="148"/>
      <c r="J558" s="149"/>
      <c r="K558" s="149"/>
    </row>
    <row r="559">
      <c r="C559" s="148"/>
      <c r="G559" s="148"/>
      <c r="J559" s="149"/>
      <c r="K559" s="149"/>
    </row>
    <row r="560">
      <c r="C560" s="148"/>
      <c r="G560" s="148"/>
      <c r="J560" s="149"/>
      <c r="K560" s="149"/>
    </row>
    <row r="561">
      <c r="C561" s="148"/>
      <c r="G561" s="148"/>
      <c r="J561" s="149"/>
      <c r="K561" s="149"/>
    </row>
    <row r="562">
      <c r="C562" s="148"/>
      <c r="G562" s="148"/>
      <c r="J562" s="149"/>
      <c r="K562" s="149"/>
    </row>
    <row r="563">
      <c r="C563" s="148"/>
      <c r="G563" s="148"/>
      <c r="J563" s="149"/>
      <c r="K563" s="149"/>
    </row>
    <row r="564">
      <c r="C564" s="148"/>
      <c r="G564" s="148"/>
      <c r="J564" s="149"/>
      <c r="K564" s="149"/>
    </row>
    <row r="565">
      <c r="C565" s="148"/>
      <c r="G565" s="148"/>
      <c r="J565" s="149"/>
      <c r="K565" s="149"/>
    </row>
    <row r="566">
      <c r="C566" s="148"/>
      <c r="G566" s="148"/>
      <c r="J566" s="149"/>
      <c r="K566" s="149"/>
    </row>
    <row r="567">
      <c r="C567" s="148"/>
      <c r="G567" s="148"/>
      <c r="J567" s="149"/>
      <c r="K567" s="149"/>
    </row>
    <row r="568">
      <c r="C568" s="148"/>
      <c r="G568" s="148"/>
      <c r="J568" s="149"/>
      <c r="K568" s="149"/>
    </row>
    <row r="569">
      <c r="C569" s="148"/>
      <c r="G569" s="148"/>
      <c r="J569" s="149"/>
      <c r="K569" s="149"/>
    </row>
    <row r="570">
      <c r="C570" s="148"/>
      <c r="G570" s="148"/>
      <c r="J570" s="149"/>
      <c r="K570" s="149"/>
    </row>
    <row r="571">
      <c r="C571" s="148"/>
      <c r="G571" s="148"/>
      <c r="J571" s="149"/>
      <c r="K571" s="149"/>
    </row>
    <row r="572">
      <c r="C572" s="148"/>
      <c r="G572" s="148"/>
      <c r="J572" s="149"/>
      <c r="K572" s="149"/>
    </row>
    <row r="573">
      <c r="C573" s="148"/>
      <c r="G573" s="148"/>
      <c r="J573" s="149"/>
      <c r="K573" s="149"/>
    </row>
    <row r="574">
      <c r="C574" s="148"/>
      <c r="G574" s="148"/>
      <c r="J574" s="149"/>
      <c r="K574" s="149"/>
    </row>
    <row r="575">
      <c r="C575" s="148"/>
      <c r="G575" s="148"/>
      <c r="J575" s="149"/>
      <c r="K575" s="149"/>
    </row>
    <row r="576">
      <c r="C576" s="148"/>
      <c r="G576" s="148"/>
      <c r="J576" s="149"/>
      <c r="K576" s="149"/>
    </row>
    <row r="577">
      <c r="C577" s="148"/>
      <c r="G577" s="148"/>
      <c r="J577" s="149"/>
      <c r="K577" s="149"/>
    </row>
    <row r="578">
      <c r="C578" s="148"/>
      <c r="G578" s="148"/>
      <c r="J578" s="149"/>
      <c r="K578" s="149"/>
    </row>
    <row r="579">
      <c r="C579" s="148"/>
      <c r="G579" s="148"/>
      <c r="J579" s="149"/>
      <c r="K579" s="149"/>
    </row>
    <row r="580">
      <c r="C580" s="148"/>
      <c r="G580" s="148"/>
      <c r="J580" s="149"/>
      <c r="K580" s="149"/>
    </row>
    <row r="581">
      <c r="C581" s="148"/>
      <c r="G581" s="148"/>
      <c r="J581" s="149"/>
      <c r="K581" s="149"/>
    </row>
    <row r="582">
      <c r="C582" s="148"/>
      <c r="G582" s="148"/>
      <c r="J582" s="149"/>
      <c r="K582" s="149"/>
    </row>
    <row r="583">
      <c r="C583" s="148"/>
      <c r="G583" s="148"/>
      <c r="J583" s="149"/>
      <c r="K583" s="149"/>
    </row>
    <row r="584">
      <c r="C584" s="148"/>
      <c r="G584" s="148"/>
      <c r="J584" s="149"/>
      <c r="K584" s="149"/>
    </row>
    <row r="585">
      <c r="C585" s="148"/>
      <c r="G585" s="148"/>
      <c r="J585" s="149"/>
      <c r="K585" s="149"/>
    </row>
    <row r="586">
      <c r="C586" s="148"/>
      <c r="G586" s="148"/>
      <c r="J586" s="149"/>
      <c r="K586" s="149"/>
    </row>
    <row r="587">
      <c r="C587" s="148"/>
      <c r="G587" s="148"/>
      <c r="J587" s="149"/>
      <c r="K587" s="149"/>
    </row>
    <row r="588">
      <c r="C588" s="148"/>
      <c r="G588" s="148"/>
      <c r="J588" s="149"/>
      <c r="K588" s="149"/>
    </row>
    <row r="589">
      <c r="C589" s="148"/>
      <c r="G589" s="148"/>
      <c r="J589" s="149"/>
      <c r="K589" s="149"/>
    </row>
    <row r="590">
      <c r="C590" s="148"/>
      <c r="G590" s="148"/>
      <c r="J590" s="149"/>
      <c r="K590" s="149"/>
    </row>
    <row r="591">
      <c r="C591" s="148"/>
      <c r="G591" s="148"/>
      <c r="J591" s="149"/>
      <c r="K591" s="149"/>
    </row>
    <row r="592">
      <c r="C592" s="148"/>
      <c r="G592" s="148"/>
      <c r="J592" s="149"/>
      <c r="K592" s="149"/>
    </row>
    <row r="593">
      <c r="C593" s="148"/>
      <c r="G593" s="148"/>
      <c r="J593" s="149"/>
      <c r="K593" s="149"/>
    </row>
    <row r="594">
      <c r="C594" s="148"/>
      <c r="G594" s="148"/>
      <c r="J594" s="149"/>
      <c r="K594" s="149"/>
    </row>
    <row r="595">
      <c r="C595" s="148"/>
      <c r="G595" s="148"/>
      <c r="J595" s="149"/>
      <c r="K595" s="149"/>
    </row>
    <row r="596">
      <c r="C596" s="148"/>
      <c r="G596" s="148"/>
      <c r="J596" s="149"/>
      <c r="K596" s="149"/>
    </row>
    <row r="597">
      <c r="C597" s="148"/>
      <c r="G597" s="148"/>
      <c r="J597" s="149"/>
      <c r="K597" s="149"/>
    </row>
    <row r="598">
      <c r="C598" s="148"/>
      <c r="G598" s="148"/>
      <c r="J598" s="149"/>
      <c r="K598" s="149"/>
    </row>
    <row r="599">
      <c r="C599" s="148"/>
      <c r="G599" s="148"/>
      <c r="J599" s="149"/>
      <c r="K599" s="149"/>
    </row>
    <row r="600">
      <c r="C600" s="148"/>
      <c r="G600" s="148"/>
      <c r="J600" s="149"/>
      <c r="K600" s="149"/>
    </row>
    <row r="601">
      <c r="C601" s="148"/>
      <c r="G601" s="148"/>
      <c r="J601" s="149"/>
      <c r="K601" s="149"/>
    </row>
    <row r="602">
      <c r="C602" s="148"/>
      <c r="G602" s="148"/>
      <c r="J602" s="149"/>
      <c r="K602" s="149"/>
    </row>
    <row r="603">
      <c r="C603" s="148"/>
      <c r="G603" s="148"/>
      <c r="J603" s="149"/>
      <c r="K603" s="149"/>
    </row>
    <row r="604">
      <c r="C604" s="148"/>
      <c r="G604" s="148"/>
      <c r="J604" s="149"/>
      <c r="K604" s="149"/>
    </row>
    <row r="605">
      <c r="C605" s="148"/>
      <c r="G605" s="148"/>
      <c r="J605" s="149"/>
      <c r="K605" s="149"/>
    </row>
    <row r="606">
      <c r="C606" s="148"/>
      <c r="G606" s="148"/>
      <c r="J606" s="149"/>
      <c r="K606" s="149"/>
    </row>
    <row r="607">
      <c r="C607" s="148"/>
      <c r="G607" s="148"/>
      <c r="J607" s="149"/>
      <c r="K607" s="149"/>
    </row>
    <row r="608">
      <c r="C608" s="148"/>
      <c r="G608" s="148"/>
      <c r="J608" s="149"/>
      <c r="K608" s="149"/>
    </row>
    <row r="609">
      <c r="C609" s="148"/>
      <c r="G609" s="148"/>
      <c r="J609" s="149"/>
      <c r="K609" s="149"/>
    </row>
    <row r="610">
      <c r="C610" s="148"/>
      <c r="G610" s="148"/>
      <c r="J610" s="149"/>
      <c r="K610" s="149"/>
    </row>
    <row r="611">
      <c r="C611" s="148"/>
      <c r="G611" s="148"/>
      <c r="J611" s="149"/>
      <c r="K611" s="149"/>
    </row>
    <row r="612">
      <c r="C612" s="148"/>
      <c r="G612" s="148"/>
      <c r="J612" s="149"/>
      <c r="K612" s="149"/>
    </row>
    <row r="613">
      <c r="C613" s="148"/>
      <c r="G613" s="148"/>
      <c r="J613" s="149"/>
      <c r="K613" s="149"/>
    </row>
    <row r="614">
      <c r="C614" s="148"/>
      <c r="G614" s="148"/>
      <c r="J614" s="149"/>
      <c r="K614" s="149"/>
    </row>
    <row r="615">
      <c r="C615" s="148"/>
      <c r="G615" s="148"/>
      <c r="J615" s="149"/>
      <c r="K615" s="149"/>
    </row>
    <row r="616">
      <c r="C616" s="148"/>
      <c r="G616" s="148"/>
      <c r="J616" s="149"/>
      <c r="K616" s="149"/>
    </row>
    <row r="617">
      <c r="C617" s="148"/>
      <c r="G617" s="148"/>
      <c r="J617" s="149"/>
      <c r="K617" s="149"/>
    </row>
    <row r="618">
      <c r="C618" s="148"/>
      <c r="G618" s="148"/>
      <c r="J618" s="149"/>
      <c r="K618" s="149"/>
    </row>
    <row r="619">
      <c r="C619" s="148"/>
      <c r="G619" s="148"/>
      <c r="J619" s="149"/>
      <c r="K619" s="149"/>
    </row>
    <row r="620">
      <c r="C620" s="148"/>
      <c r="G620" s="148"/>
      <c r="J620" s="149"/>
      <c r="K620" s="149"/>
    </row>
    <row r="621">
      <c r="C621" s="148"/>
      <c r="G621" s="148"/>
      <c r="J621" s="149"/>
      <c r="K621" s="149"/>
    </row>
    <row r="622">
      <c r="C622" s="148"/>
      <c r="G622" s="148"/>
      <c r="J622" s="149"/>
      <c r="K622" s="149"/>
    </row>
    <row r="623">
      <c r="C623" s="148"/>
      <c r="G623" s="148"/>
      <c r="J623" s="149"/>
      <c r="K623" s="149"/>
    </row>
    <row r="624">
      <c r="C624" s="148"/>
      <c r="G624" s="148"/>
      <c r="J624" s="149"/>
      <c r="K624" s="149"/>
    </row>
    <row r="625">
      <c r="C625" s="148"/>
      <c r="G625" s="148"/>
      <c r="J625" s="149"/>
      <c r="K625" s="149"/>
    </row>
    <row r="626">
      <c r="C626" s="148"/>
      <c r="G626" s="148"/>
      <c r="J626" s="149"/>
      <c r="K626" s="149"/>
    </row>
    <row r="627">
      <c r="C627" s="148"/>
      <c r="G627" s="148"/>
      <c r="J627" s="149"/>
      <c r="K627" s="149"/>
    </row>
    <row r="628">
      <c r="C628" s="148"/>
      <c r="G628" s="148"/>
      <c r="J628" s="149"/>
      <c r="K628" s="149"/>
    </row>
    <row r="629">
      <c r="C629" s="148"/>
      <c r="G629" s="148"/>
      <c r="J629" s="149"/>
      <c r="K629" s="149"/>
    </row>
    <row r="630">
      <c r="C630" s="148"/>
      <c r="G630" s="148"/>
      <c r="J630" s="149"/>
      <c r="K630" s="149"/>
    </row>
    <row r="631">
      <c r="C631" s="148"/>
      <c r="G631" s="148"/>
      <c r="J631" s="149"/>
      <c r="K631" s="149"/>
    </row>
    <row r="632">
      <c r="C632" s="148"/>
      <c r="G632" s="148"/>
      <c r="J632" s="149"/>
      <c r="K632" s="149"/>
    </row>
    <row r="633">
      <c r="C633" s="148"/>
      <c r="G633" s="148"/>
      <c r="J633" s="149"/>
      <c r="K633" s="149"/>
    </row>
    <row r="634">
      <c r="C634" s="148"/>
      <c r="G634" s="148"/>
      <c r="J634" s="149"/>
      <c r="K634" s="149"/>
    </row>
    <row r="635">
      <c r="C635" s="148"/>
      <c r="G635" s="148"/>
      <c r="J635" s="149"/>
      <c r="K635" s="149"/>
    </row>
    <row r="636">
      <c r="C636" s="148"/>
      <c r="G636" s="148"/>
      <c r="J636" s="149"/>
      <c r="K636" s="149"/>
    </row>
    <row r="637">
      <c r="C637" s="148"/>
      <c r="G637" s="148"/>
      <c r="J637" s="149"/>
      <c r="K637" s="149"/>
    </row>
    <row r="638">
      <c r="C638" s="148"/>
      <c r="G638" s="148"/>
      <c r="J638" s="149"/>
      <c r="K638" s="149"/>
    </row>
    <row r="639">
      <c r="C639" s="148"/>
      <c r="G639" s="148"/>
      <c r="J639" s="149"/>
      <c r="K639" s="149"/>
    </row>
    <row r="640">
      <c r="C640" s="148"/>
      <c r="G640" s="148"/>
      <c r="J640" s="149"/>
      <c r="K640" s="149"/>
    </row>
    <row r="641">
      <c r="C641" s="148"/>
      <c r="G641" s="148"/>
      <c r="J641" s="149"/>
      <c r="K641" s="149"/>
    </row>
    <row r="642">
      <c r="C642" s="148"/>
      <c r="G642" s="148"/>
      <c r="J642" s="149"/>
      <c r="K642" s="149"/>
    </row>
    <row r="643">
      <c r="C643" s="148"/>
      <c r="G643" s="148"/>
      <c r="J643" s="149"/>
      <c r="K643" s="149"/>
    </row>
    <row r="644">
      <c r="C644" s="148"/>
      <c r="G644" s="148"/>
      <c r="J644" s="149"/>
      <c r="K644" s="149"/>
    </row>
    <row r="645">
      <c r="C645" s="148"/>
      <c r="G645" s="148"/>
      <c r="J645" s="149"/>
      <c r="K645" s="149"/>
    </row>
    <row r="646">
      <c r="C646" s="148"/>
      <c r="G646" s="148"/>
      <c r="J646" s="149"/>
      <c r="K646" s="149"/>
    </row>
    <row r="647">
      <c r="C647" s="148"/>
      <c r="G647" s="148"/>
      <c r="J647" s="149"/>
      <c r="K647" s="149"/>
    </row>
    <row r="648">
      <c r="C648" s="148"/>
      <c r="G648" s="148"/>
      <c r="J648" s="149"/>
      <c r="K648" s="149"/>
    </row>
    <row r="649">
      <c r="C649" s="148"/>
      <c r="G649" s="148"/>
      <c r="J649" s="149"/>
      <c r="K649" s="149"/>
    </row>
    <row r="650">
      <c r="C650" s="148"/>
      <c r="G650" s="148"/>
      <c r="J650" s="149"/>
      <c r="K650" s="149"/>
    </row>
    <row r="651">
      <c r="C651" s="148"/>
      <c r="G651" s="148"/>
      <c r="J651" s="149"/>
      <c r="K651" s="149"/>
    </row>
    <row r="652">
      <c r="C652" s="148"/>
      <c r="G652" s="148"/>
      <c r="J652" s="149"/>
      <c r="K652" s="149"/>
    </row>
    <row r="653">
      <c r="C653" s="148"/>
      <c r="G653" s="148"/>
      <c r="J653" s="149"/>
      <c r="K653" s="149"/>
    </row>
    <row r="654">
      <c r="C654" s="148"/>
      <c r="G654" s="148"/>
      <c r="J654" s="149"/>
      <c r="K654" s="149"/>
    </row>
    <row r="655">
      <c r="C655" s="148"/>
      <c r="G655" s="148"/>
      <c r="J655" s="149"/>
      <c r="K655" s="149"/>
    </row>
    <row r="656">
      <c r="C656" s="148"/>
      <c r="G656" s="148"/>
      <c r="J656" s="149"/>
      <c r="K656" s="149"/>
    </row>
    <row r="657">
      <c r="C657" s="148"/>
      <c r="G657" s="148"/>
      <c r="J657" s="149"/>
      <c r="K657" s="149"/>
    </row>
    <row r="658">
      <c r="C658" s="148"/>
      <c r="G658" s="148"/>
      <c r="J658" s="149"/>
      <c r="K658" s="149"/>
    </row>
    <row r="659">
      <c r="C659" s="148"/>
      <c r="G659" s="148"/>
      <c r="J659" s="149"/>
      <c r="K659" s="149"/>
    </row>
    <row r="660">
      <c r="C660" s="148"/>
      <c r="G660" s="148"/>
      <c r="J660" s="149"/>
      <c r="K660" s="149"/>
    </row>
    <row r="661">
      <c r="C661" s="148"/>
      <c r="G661" s="148"/>
      <c r="J661" s="149"/>
      <c r="K661" s="149"/>
    </row>
    <row r="662">
      <c r="C662" s="148"/>
      <c r="G662" s="148"/>
      <c r="J662" s="149"/>
      <c r="K662" s="149"/>
    </row>
    <row r="663">
      <c r="C663" s="148"/>
      <c r="G663" s="148"/>
      <c r="J663" s="149"/>
      <c r="K663" s="149"/>
    </row>
    <row r="664">
      <c r="C664" s="148"/>
      <c r="G664" s="148"/>
      <c r="J664" s="149"/>
      <c r="K664" s="149"/>
    </row>
    <row r="665">
      <c r="C665" s="148"/>
      <c r="G665" s="148"/>
      <c r="J665" s="149"/>
      <c r="K665" s="149"/>
    </row>
    <row r="666">
      <c r="C666" s="148"/>
      <c r="G666" s="148"/>
      <c r="J666" s="149"/>
      <c r="K666" s="149"/>
    </row>
    <row r="667">
      <c r="C667" s="148"/>
      <c r="G667" s="148"/>
      <c r="J667" s="149"/>
      <c r="K667" s="149"/>
    </row>
    <row r="668">
      <c r="C668" s="148"/>
      <c r="G668" s="148"/>
      <c r="J668" s="149"/>
      <c r="K668" s="149"/>
    </row>
    <row r="669">
      <c r="C669" s="148"/>
      <c r="G669" s="148"/>
      <c r="J669" s="149"/>
      <c r="K669" s="149"/>
    </row>
    <row r="670">
      <c r="C670" s="148"/>
      <c r="G670" s="148"/>
      <c r="J670" s="149"/>
      <c r="K670" s="149"/>
    </row>
    <row r="671">
      <c r="C671" s="148"/>
      <c r="G671" s="148"/>
      <c r="J671" s="149"/>
      <c r="K671" s="149"/>
    </row>
    <row r="672">
      <c r="C672" s="148"/>
      <c r="G672" s="148"/>
      <c r="J672" s="149"/>
      <c r="K672" s="149"/>
    </row>
    <row r="673">
      <c r="C673" s="148"/>
      <c r="G673" s="148"/>
      <c r="J673" s="149"/>
      <c r="K673" s="149"/>
    </row>
    <row r="674">
      <c r="C674" s="148"/>
      <c r="G674" s="148"/>
      <c r="J674" s="149"/>
      <c r="K674" s="149"/>
    </row>
    <row r="675">
      <c r="C675" s="148"/>
      <c r="G675" s="148"/>
      <c r="J675" s="149"/>
      <c r="K675" s="149"/>
    </row>
    <row r="676">
      <c r="C676" s="148"/>
      <c r="G676" s="148"/>
      <c r="J676" s="149"/>
      <c r="K676" s="149"/>
    </row>
    <row r="677">
      <c r="C677" s="148"/>
      <c r="G677" s="148"/>
      <c r="J677" s="149"/>
      <c r="K677" s="149"/>
    </row>
    <row r="678">
      <c r="C678" s="148"/>
      <c r="G678" s="148"/>
      <c r="J678" s="149"/>
      <c r="K678" s="149"/>
    </row>
    <row r="679">
      <c r="C679" s="148"/>
      <c r="G679" s="148"/>
      <c r="J679" s="149"/>
      <c r="K679" s="149"/>
    </row>
    <row r="680">
      <c r="C680" s="148"/>
      <c r="G680" s="148"/>
      <c r="J680" s="149"/>
      <c r="K680" s="149"/>
    </row>
    <row r="681">
      <c r="C681" s="148"/>
      <c r="G681" s="148"/>
      <c r="J681" s="149"/>
      <c r="K681" s="149"/>
    </row>
    <row r="682">
      <c r="C682" s="148"/>
      <c r="G682" s="148"/>
      <c r="J682" s="149"/>
      <c r="K682" s="149"/>
    </row>
    <row r="683">
      <c r="C683" s="148"/>
      <c r="G683" s="148"/>
      <c r="J683" s="149"/>
      <c r="K683" s="149"/>
    </row>
    <row r="684">
      <c r="C684" s="148"/>
      <c r="G684" s="148"/>
      <c r="J684" s="149"/>
      <c r="K684" s="149"/>
    </row>
    <row r="685">
      <c r="C685" s="148"/>
      <c r="G685" s="148"/>
      <c r="J685" s="149"/>
      <c r="K685" s="149"/>
    </row>
    <row r="686">
      <c r="C686" s="148"/>
      <c r="G686" s="148"/>
      <c r="J686" s="149"/>
      <c r="K686" s="149"/>
    </row>
    <row r="687">
      <c r="C687" s="148"/>
      <c r="G687" s="148"/>
      <c r="J687" s="149"/>
      <c r="K687" s="149"/>
    </row>
    <row r="688">
      <c r="C688" s="148"/>
      <c r="G688" s="148"/>
      <c r="J688" s="149"/>
      <c r="K688" s="149"/>
    </row>
    <row r="689">
      <c r="C689" s="148"/>
      <c r="G689" s="148"/>
      <c r="J689" s="149"/>
      <c r="K689" s="149"/>
    </row>
    <row r="690">
      <c r="C690" s="148"/>
      <c r="G690" s="148"/>
      <c r="J690" s="149"/>
      <c r="K690" s="149"/>
    </row>
    <row r="691">
      <c r="C691" s="148"/>
      <c r="G691" s="148"/>
      <c r="J691" s="149"/>
      <c r="K691" s="149"/>
    </row>
    <row r="692">
      <c r="C692" s="148"/>
      <c r="G692" s="148"/>
      <c r="J692" s="149"/>
      <c r="K692" s="149"/>
    </row>
    <row r="693">
      <c r="C693" s="148"/>
      <c r="G693" s="148"/>
      <c r="J693" s="149"/>
      <c r="K693" s="149"/>
    </row>
    <row r="694">
      <c r="C694" s="148"/>
      <c r="G694" s="148"/>
      <c r="J694" s="149"/>
      <c r="K694" s="149"/>
    </row>
    <row r="695">
      <c r="C695" s="148"/>
      <c r="G695" s="148"/>
      <c r="J695" s="149"/>
      <c r="K695" s="149"/>
    </row>
    <row r="696">
      <c r="C696" s="148"/>
      <c r="G696" s="148"/>
      <c r="J696" s="149"/>
      <c r="K696" s="149"/>
    </row>
    <row r="697">
      <c r="C697" s="148"/>
      <c r="G697" s="148"/>
      <c r="J697" s="149"/>
      <c r="K697" s="149"/>
    </row>
    <row r="698">
      <c r="C698" s="148"/>
      <c r="G698" s="148"/>
      <c r="J698" s="149"/>
      <c r="K698" s="149"/>
    </row>
    <row r="699">
      <c r="C699" s="148"/>
      <c r="G699" s="148"/>
      <c r="J699" s="149"/>
      <c r="K699" s="149"/>
    </row>
    <row r="700">
      <c r="C700" s="148"/>
      <c r="G700" s="148"/>
      <c r="J700" s="149"/>
      <c r="K700" s="149"/>
    </row>
    <row r="701">
      <c r="C701" s="148"/>
      <c r="G701" s="148"/>
      <c r="J701" s="149"/>
      <c r="K701" s="149"/>
    </row>
    <row r="702">
      <c r="C702" s="148"/>
      <c r="G702" s="148"/>
      <c r="J702" s="149"/>
      <c r="K702" s="149"/>
    </row>
    <row r="703">
      <c r="C703" s="148"/>
      <c r="G703" s="148"/>
      <c r="J703" s="149"/>
      <c r="K703" s="149"/>
    </row>
    <row r="704">
      <c r="C704" s="148"/>
      <c r="G704" s="148"/>
      <c r="J704" s="149"/>
      <c r="K704" s="149"/>
    </row>
    <row r="705">
      <c r="C705" s="148"/>
      <c r="G705" s="148"/>
      <c r="J705" s="149"/>
      <c r="K705" s="149"/>
    </row>
    <row r="706">
      <c r="C706" s="148"/>
      <c r="G706" s="148"/>
      <c r="J706" s="149"/>
      <c r="K706" s="149"/>
    </row>
    <row r="707">
      <c r="C707" s="148"/>
      <c r="G707" s="148"/>
      <c r="J707" s="149"/>
      <c r="K707" s="149"/>
    </row>
    <row r="708">
      <c r="C708" s="148"/>
      <c r="G708" s="148"/>
      <c r="J708" s="149"/>
      <c r="K708" s="149"/>
    </row>
    <row r="709">
      <c r="C709" s="148"/>
      <c r="G709" s="148"/>
      <c r="J709" s="149"/>
      <c r="K709" s="149"/>
    </row>
    <row r="710">
      <c r="C710" s="148"/>
      <c r="G710" s="148"/>
      <c r="J710" s="149"/>
      <c r="K710" s="149"/>
    </row>
    <row r="711">
      <c r="C711" s="148"/>
      <c r="G711" s="148"/>
      <c r="J711" s="149"/>
      <c r="K711" s="149"/>
    </row>
    <row r="712">
      <c r="C712" s="148"/>
      <c r="G712" s="148"/>
      <c r="J712" s="149"/>
      <c r="K712" s="149"/>
    </row>
    <row r="713">
      <c r="C713" s="148"/>
      <c r="G713" s="148"/>
      <c r="J713" s="149"/>
      <c r="K713" s="149"/>
    </row>
    <row r="714">
      <c r="C714" s="148"/>
      <c r="G714" s="148"/>
      <c r="J714" s="149"/>
      <c r="K714" s="149"/>
    </row>
    <row r="715">
      <c r="C715" s="148"/>
      <c r="G715" s="148"/>
      <c r="J715" s="149"/>
      <c r="K715" s="149"/>
    </row>
    <row r="716">
      <c r="C716" s="148"/>
      <c r="G716" s="148"/>
      <c r="J716" s="149"/>
      <c r="K716" s="149"/>
    </row>
    <row r="717">
      <c r="C717" s="148"/>
      <c r="G717" s="148"/>
      <c r="J717" s="149"/>
      <c r="K717" s="149"/>
    </row>
    <row r="718">
      <c r="C718" s="148"/>
      <c r="G718" s="148"/>
      <c r="J718" s="149"/>
      <c r="K718" s="149"/>
    </row>
    <row r="719">
      <c r="C719" s="148"/>
      <c r="G719" s="148"/>
      <c r="J719" s="149"/>
      <c r="K719" s="149"/>
    </row>
    <row r="720">
      <c r="C720" s="148"/>
      <c r="G720" s="148"/>
      <c r="J720" s="149"/>
      <c r="K720" s="149"/>
    </row>
    <row r="721">
      <c r="C721" s="148"/>
      <c r="G721" s="148"/>
      <c r="J721" s="149"/>
      <c r="K721" s="149"/>
    </row>
    <row r="722">
      <c r="C722" s="148"/>
      <c r="G722" s="148"/>
      <c r="J722" s="149"/>
      <c r="K722" s="149"/>
    </row>
    <row r="723">
      <c r="C723" s="148"/>
      <c r="G723" s="148"/>
      <c r="J723" s="149"/>
      <c r="K723" s="149"/>
    </row>
    <row r="724">
      <c r="C724" s="148"/>
      <c r="G724" s="148"/>
      <c r="J724" s="149"/>
      <c r="K724" s="149"/>
    </row>
    <row r="725">
      <c r="C725" s="148"/>
      <c r="G725" s="148"/>
      <c r="J725" s="149"/>
      <c r="K725" s="149"/>
    </row>
    <row r="726">
      <c r="C726" s="148"/>
      <c r="G726" s="148"/>
      <c r="J726" s="149"/>
      <c r="K726" s="149"/>
    </row>
    <row r="727">
      <c r="C727" s="148"/>
      <c r="G727" s="148"/>
      <c r="J727" s="149"/>
      <c r="K727" s="149"/>
    </row>
    <row r="728">
      <c r="C728" s="148"/>
      <c r="G728" s="148"/>
      <c r="J728" s="149"/>
      <c r="K728" s="149"/>
    </row>
    <row r="729">
      <c r="C729" s="148"/>
      <c r="G729" s="148"/>
      <c r="J729" s="149"/>
      <c r="K729" s="149"/>
    </row>
    <row r="730">
      <c r="C730" s="148"/>
      <c r="G730" s="148"/>
      <c r="J730" s="149"/>
      <c r="K730" s="149"/>
    </row>
    <row r="731">
      <c r="C731" s="148"/>
      <c r="G731" s="148"/>
      <c r="J731" s="149"/>
      <c r="K731" s="149"/>
    </row>
    <row r="732">
      <c r="C732" s="148"/>
      <c r="G732" s="148"/>
      <c r="J732" s="149"/>
      <c r="K732" s="149"/>
    </row>
    <row r="733">
      <c r="C733" s="148"/>
      <c r="G733" s="148"/>
      <c r="J733" s="149"/>
      <c r="K733" s="149"/>
    </row>
    <row r="734">
      <c r="C734" s="148"/>
      <c r="G734" s="148"/>
      <c r="J734" s="149"/>
      <c r="K734" s="149"/>
    </row>
    <row r="735">
      <c r="C735" s="148"/>
      <c r="G735" s="148"/>
      <c r="J735" s="149"/>
      <c r="K735" s="149"/>
    </row>
    <row r="736">
      <c r="C736" s="148"/>
      <c r="G736" s="148"/>
      <c r="J736" s="149"/>
      <c r="K736" s="149"/>
    </row>
    <row r="737">
      <c r="C737" s="148"/>
      <c r="G737" s="148"/>
      <c r="J737" s="149"/>
      <c r="K737" s="149"/>
    </row>
    <row r="738">
      <c r="C738" s="148"/>
      <c r="G738" s="148"/>
      <c r="J738" s="149"/>
      <c r="K738" s="149"/>
    </row>
    <row r="739">
      <c r="C739" s="148"/>
      <c r="G739" s="148"/>
      <c r="J739" s="149"/>
      <c r="K739" s="149"/>
    </row>
    <row r="740">
      <c r="C740" s="148"/>
      <c r="G740" s="148"/>
      <c r="J740" s="149"/>
      <c r="K740" s="149"/>
    </row>
    <row r="741">
      <c r="C741" s="148"/>
      <c r="G741" s="148"/>
      <c r="J741" s="149"/>
      <c r="K741" s="149"/>
    </row>
    <row r="742">
      <c r="C742" s="148"/>
      <c r="G742" s="148"/>
      <c r="J742" s="149"/>
      <c r="K742" s="149"/>
    </row>
    <row r="743">
      <c r="C743" s="148"/>
      <c r="G743" s="148"/>
      <c r="J743" s="149"/>
      <c r="K743" s="149"/>
    </row>
    <row r="744">
      <c r="C744" s="148"/>
      <c r="G744" s="148"/>
      <c r="J744" s="149"/>
      <c r="K744" s="149"/>
    </row>
    <row r="745">
      <c r="C745" s="148"/>
      <c r="G745" s="148"/>
      <c r="J745" s="149"/>
      <c r="K745" s="149"/>
    </row>
    <row r="746">
      <c r="C746" s="148"/>
      <c r="G746" s="148"/>
      <c r="J746" s="149"/>
      <c r="K746" s="149"/>
    </row>
    <row r="747">
      <c r="C747" s="148"/>
      <c r="G747" s="148"/>
      <c r="J747" s="149"/>
      <c r="K747" s="149"/>
    </row>
    <row r="748">
      <c r="C748" s="148"/>
      <c r="G748" s="148"/>
      <c r="J748" s="149"/>
      <c r="K748" s="149"/>
    </row>
    <row r="749">
      <c r="C749" s="148"/>
      <c r="G749" s="148"/>
      <c r="J749" s="149"/>
      <c r="K749" s="149"/>
    </row>
    <row r="750">
      <c r="C750" s="148"/>
      <c r="G750" s="148"/>
      <c r="J750" s="149"/>
      <c r="K750" s="149"/>
    </row>
    <row r="751">
      <c r="C751" s="148"/>
      <c r="G751" s="148"/>
      <c r="J751" s="149"/>
      <c r="K751" s="149"/>
    </row>
    <row r="752">
      <c r="C752" s="148"/>
      <c r="G752" s="148"/>
      <c r="J752" s="149"/>
      <c r="K752" s="149"/>
    </row>
    <row r="753">
      <c r="C753" s="148"/>
      <c r="G753" s="148"/>
      <c r="J753" s="149"/>
      <c r="K753" s="149"/>
    </row>
    <row r="754">
      <c r="C754" s="148"/>
      <c r="G754" s="148"/>
      <c r="J754" s="149"/>
      <c r="K754" s="149"/>
    </row>
    <row r="755">
      <c r="C755" s="148"/>
      <c r="G755" s="148"/>
      <c r="J755" s="149"/>
      <c r="K755" s="149"/>
    </row>
    <row r="756">
      <c r="C756" s="148"/>
      <c r="G756" s="148"/>
      <c r="J756" s="149"/>
      <c r="K756" s="149"/>
    </row>
    <row r="757">
      <c r="C757" s="148"/>
      <c r="G757" s="148"/>
      <c r="J757" s="149"/>
      <c r="K757" s="149"/>
    </row>
    <row r="758">
      <c r="C758" s="148"/>
      <c r="G758" s="148"/>
      <c r="J758" s="149"/>
      <c r="K758" s="149"/>
    </row>
    <row r="759">
      <c r="C759" s="148"/>
      <c r="G759" s="148"/>
      <c r="J759" s="149"/>
      <c r="K759" s="149"/>
    </row>
    <row r="760">
      <c r="C760" s="148"/>
      <c r="G760" s="148"/>
      <c r="J760" s="149"/>
      <c r="K760" s="149"/>
    </row>
    <row r="761">
      <c r="C761" s="148"/>
      <c r="G761" s="148"/>
      <c r="J761" s="149"/>
      <c r="K761" s="149"/>
    </row>
    <row r="762">
      <c r="C762" s="148"/>
      <c r="G762" s="148"/>
      <c r="J762" s="149"/>
      <c r="K762" s="149"/>
    </row>
    <row r="763">
      <c r="C763" s="148"/>
      <c r="G763" s="148"/>
      <c r="J763" s="149"/>
      <c r="K763" s="149"/>
    </row>
    <row r="764">
      <c r="C764" s="148"/>
      <c r="G764" s="148"/>
      <c r="J764" s="149"/>
      <c r="K764" s="149"/>
    </row>
    <row r="765">
      <c r="C765" s="148"/>
      <c r="G765" s="148"/>
      <c r="J765" s="149"/>
      <c r="K765" s="149"/>
    </row>
    <row r="766">
      <c r="C766" s="148"/>
      <c r="G766" s="148"/>
      <c r="J766" s="149"/>
      <c r="K766" s="149"/>
    </row>
    <row r="767">
      <c r="C767" s="148"/>
      <c r="G767" s="148"/>
      <c r="J767" s="149"/>
      <c r="K767" s="149"/>
    </row>
    <row r="768">
      <c r="C768" s="148"/>
      <c r="G768" s="148"/>
      <c r="J768" s="149"/>
      <c r="K768" s="149"/>
    </row>
    <row r="769">
      <c r="C769" s="148"/>
      <c r="G769" s="148"/>
      <c r="J769" s="149"/>
      <c r="K769" s="149"/>
    </row>
    <row r="770">
      <c r="C770" s="148"/>
      <c r="G770" s="148"/>
      <c r="J770" s="149"/>
      <c r="K770" s="149"/>
    </row>
    <row r="771">
      <c r="C771" s="148"/>
      <c r="G771" s="148"/>
      <c r="J771" s="149"/>
      <c r="K771" s="149"/>
    </row>
    <row r="772">
      <c r="C772" s="148"/>
      <c r="G772" s="148"/>
      <c r="J772" s="149"/>
      <c r="K772" s="149"/>
    </row>
    <row r="773">
      <c r="C773" s="148"/>
      <c r="G773" s="148"/>
      <c r="J773" s="149"/>
      <c r="K773" s="149"/>
    </row>
    <row r="774">
      <c r="C774" s="148"/>
      <c r="G774" s="148"/>
      <c r="J774" s="149"/>
      <c r="K774" s="149"/>
    </row>
    <row r="775">
      <c r="C775" s="148"/>
      <c r="G775" s="148"/>
      <c r="J775" s="149"/>
      <c r="K775" s="149"/>
    </row>
    <row r="776">
      <c r="C776" s="148"/>
      <c r="G776" s="148"/>
      <c r="J776" s="149"/>
      <c r="K776" s="149"/>
    </row>
    <row r="777">
      <c r="C777" s="148"/>
      <c r="G777" s="148"/>
      <c r="J777" s="149"/>
      <c r="K777" s="149"/>
    </row>
    <row r="778">
      <c r="C778" s="148"/>
      <c r="G778" s="148"/>
      <c r="J778" s="149"/>
      <c r="K778" s="149"/>
    </row>
    <row r="779">
      <c r="C779" s="148"/>
      <c r="G779" s="148"/>
      <c r="J779" s="149"/>
      <c r="K779" s="149"/>
    </row>
    <row r="780">
      <c r="C780" s="148"/>
      <c r="G780" s="148"/>
      <c r="J780" s="149"/>
      <c r="K780" s="149"/>
    </row>
    <row r="781">
      <c r="C781" s="148"/>
      <c r="G781" s="148"/>
      <c r="J781" s="149"/>
      <c r="K781" s="149"/>
    </row>
    <row r="782">
      <c r="C782" s="148"/>
      <c r="G782" s="148"/>
      <c r="J782" s="149"/>
      <c r="K782" s="149"/>
    </row>
    <row r="783">
      <c r="C783" s="148"/>
      <c r="G783" s="148"/>
      <c r="J783" s="149"/>
      <c r="K783" s="149"/>
    </row>
    <row r="784">
      <c r="C784" s="148"/>
      <c r="G784" s="148"/>
      <c r="J784" s="149"/>
      <c r="K784" s="149"/>
    </row>
    <row r="785">
      <c r="C785" s="148"/>
      <c r="G785" s="148"/>
      <c r="J785" s="149"/>
      <c r="K785" s="149"/>
    </row>
    <row r="786">
      <c r="C786" s="148"/>
      <c r="G786" s="148"/>
      <c r="J786" s="149"/>
      <c r="K786" s="149"/>
    </row>
    <row r="787">
      <c r="C787" s="148"/>
      <c r="G787" s="148"/>
      <c r="J787" s="149"/>
      <c r="K787" s="149"/>
    </row>
    <row r="788">
      <c r="C788" s="148"/>
      <c r="G788" s="148"/>
      <c r="J788" s="149"/>
      <c r="K788" s="149"/>
    </row>
    <row r="789">
      <c r="C789" s="148"/>
      <c r="G789" s="148"/>
      <c r="J789" s="149"/>
      <c r="K789" s="149"/>
    </row>
    <row r="790">
      <c r="C790" s="148"/>
      <c r="G790" s="148"/>
      <c r="J790" s="149"/>
      <c r="K790" s="149"/>
    </row>
    <row r="791">
      <c r="C791" s="148"/>
      <c r="G791" s="148"/>
      <c r="J791" s="149"/>
      <c r="K791" s="149"/>
    </row>
    <row r="792">
      <c r="C792" s="148"/>
      <c r="G792" s="148"/>
      <c r="J792" s="149"/>
      <c r="K792" s="149"/>
    </row>
    <row r="793">
      <c r="C793" s="148"/>
      <c r="G793" s="148"/>
      <c r="J793" s="149"/>
      <c r="K793" s="149"/>
    </row>
    <row r="794">
      <c r="C794" s="148"/>
      <c r="G794" s="148"/>
      <c r="J794" s="149"/>
      <c r="K794" s="149"/>
    </row>
    <row r="795">
      <c r="C795" s="148"/>
      <c r="G795" s="148"/>
      <c r="J795" s="149"/>
      <c r="K795" s="149"/>
    </row>
    <row r="796">
      <c r="C796" s="148"/>
      <c r="G796" s="148"/>
      <c r="J796" s="149"/>
      <c r="K796" s="149"/>
    </row>
    <row r="797">
      <c r="C797" s="148"/>
      <c r="G797" s="148"/>
      <c r="J797" s="149"/>
      <c r="K797" s="149"/>
    </row>
    <row r="798">
      <c r="C798" s="148"/>
      <c r="G798" s="148"/>
      <c r="J798" s="149"/>
      <c r="K798" s="149"/>
    </row>
    <row r="799">
      <c r="C799" s="148"/>
      <c r="G799" s="148"/>
      <c r="J799" s="149"/>
      <c r="K799" s="149"/>
    </row>
    <row r="800">
      <c r="C800" s="148"/>
      <c r="G800" s="148"/>
      <c r="J800" s="149"/>
      <c r="K800" s="149"/>
    </row>
    <row r="801">
      <c r="C801" s="148"/>
      <c r="G801" s="148"/>
      <c r="J801" s="149"/>
      <c r="K801" s="149"/>
    </row>
    <row r="802">
      <c r="C802" s="148"/>
      <c r="G802" s="148"/>
      <c r="J802" s="149"/>
      <c r="K802" s="149"/>
    </row>
    <row r="803">
      <c r="C803" s="148"/>
      <c r="G803" s="148"/>
      <c r="J803" s="149"/>
      <c r="K803" s="149"/>
    </row>
    <row r="804">
      <c r="C804" s="148"/>
      <c r="G804" s="148"/>
      <c r="J804" s="149"/>
      <c r="K804" s="149"/>
    </row>
    <row r="805">
      <c r="C805" s="148"/>
      <c r="G805" s="148"/>
      <c r="J805" s="149"/>
      <c r="K805" s="149"/>
    </row>
    <row r="806">
      <c r="C806" s="148"/>
      <c r="G806" s="148"/>
      <c r="J806" s="149"/>
      <c r="K806" s="149"/>
    </row>
    <row r="807">
      <c r="C807" s="148"/>
      <c r="G807" s="148"/>
      <c r="J807" s="149"/>
      <c r="K807" s="149"/>
    </row>
    <row r="808">
      <c r="C808" s="148"/>
      <c r="G808" s="148"/>
      <c r="J808" s="149"/>
      <c r="K808" s="149"/>
    </row>
    <row r="809">
      <c r="C809" s="148"/>
      <c r="G809" s="148"/>
      <c r="J809" s="149"/>
      <c r="K809" s="149"/>
    </row>
    <row r="810">
      <c r="C810" s="148"/>
      <c r="G810" s="148"/>
      <c r="J810" s="149"/>
      <c r="K810" s="149"/>
    </row>
    <row r="811">
      <c r="C811" s="148"/>
      <c r="G811" s="148"/>
      <c r="J811" s="149"/>
      <c r="K811" s="149"/>
    </row>
    <row r="812">
      <c r="C812" s="148"/>
      <c r="G812" s="148"/>
      <c r="J812" s="149"/>
      <c r="K812" s="149"/>
    </row>
    <row r="813">
      <c r="C813" s="148"/>
      <c r="G813" s="148"/>
      <c r="J813" s="149"/>
      <c r="K813" s="149"/>
    </row>
    <row r="814">
      <c r="C814" s="148"/>
      <c r="G814" s="148"/>
      <c r="J814" s="149"/>
      <c r="K814" s="149"/>
    </row>
    <row r="815">
      <c r="C815" s="148"/>
      <c r="G815" s="148"/>
      <c r="J815" s="149"/>
      <c r="K815" s="149"/>
    </row>
    <row r="816">
      <c r="C816" s="148"/>
      <c r="G816" s="148"/>
      <c r="J816" s="149"/>
      <c r="K816" s="149"/>
    </row>
    <row r="817">
      <c r="C817" s="148"/>
      <c r="G817" s="148"/>
      <c r="J817" s="149"/>
      <c r="K817" s="149"/>
    </row>
    <row r="818">
      <c r="C818" s="148"/>
      <c r="G818" s="148"/>
      <c r="J818" s="149"/>
      <c r="K818" s="149"/>
    </row>
    <row r="819">
      <c r="C819" s="148"/>
      <c r="G819" s="148"/>
      <c r="J819" s="149"/>
      <c r="K819" s="149"/>
    </row>
    <row r="820">
      <c r="C820" s="148"/>
      <c r="G820" s="148"/>
      <c r="J820" s="149"/>
      <c r="K820" s="149"/>
    </row>
    <row r="821">
      <c r="C821" s="148"/>
      <c r="G821" s="148"/>
      <c r="J821" s="149"/>
      <c r="K821" s="149"/>
    </row>
    <row r="822">
      <c r="C822" s="148"/>
      <c r="G822" s="148"/>
      <c r="J822" s="149"/>
      <c r="K822" s="149"/>
    </row>
    <row r="823">
      <c r="C823" s="148"/>
      <c r="G823" s="148"/>
      <c r="J823" s="149"/>
      <c r="K823" s="149"/>
    </row>
    <row r="824">
      <c r="C824" s="148"/>
      <c r="G824" s="148"/>
      <c r="J824" s="149"/>
      <c r="K824" s="149"/>
    </row>
    <row r="825">
      <c r="C825" s="148"/>
      <c r="G825" s="148"/>
      <c r="J825" s="149"/>
      <c r="K825" s="149"/>
    </row>
    <row r="826">
      <c r="C826" s="148"/>
      <c r="G826" s="148"/>
      <c r="J826" s="149"/>
      <c r="K826" s="149"/>
    </row>
    <row r="827">
      <c r="C827" s="148"/>
      <c r="G827" s="148"/>
      <c r="J827" s="149"/>
      <c r="K827" s="149"/>
    </row>
    <row r="828">
      <c r="C828" s="148"/>
      <c r="G828" s="148"/>
      <c r="J828" s="149"/>
      <c r="K828" s="149"/>
    </row>
    <row r="829">
      <c r="C829" s="148"/>
      <c r="G829" s="148"/>
      <c r="J829" s="149"/>
      <c r="K829" s="149"/>
    </row>
    <row r="830">
      <c r="C830" s="148"/>
      <c r="G830" s="148"/>
      <c r="J830" s="149"/>
      <c r="K830" s="149"/>
    </row>
    <row r="831">
      <c r="C831" s="148"/>
      <c r="G831" s="148"/>
      <c r="J831" s="149"/>
      <c r="K831" s="149"/>
    </row>
    <row r="832">
      <c r="C832" s="148"/>
      <c r="G832" s="148"/>
      <c r="J832" s="149"/>
      <c r="K832" s="149"/>
    </row>
    <row r="833">
      <c r="C833" s="148"/>
      <c r="G833" s="148"/>
      <c r="J833" s="149"/>
      <c r="K833" s="149"/>
    </row>
    <row r="834">
      <c r="C834" s="148"/>
      <c r="G834" s="148"/>
      <c r="J834" s="149"/>
      <c r="K834" s="149"/>
    </row>
    <row r="835">
      <c r="C835" s="148"/>
      <c r="G835" s="148"/>
      <c r="J835" s="149"/>
      <c r="K835" s="149"/>
    </row>
    <row r="836">
      <c r="C836" s="148"/>
      <c r="G836" s="148"/>
      <c r="J836" s="149"/>
      <c r="K836" s="149"/>
    </row>
    <row r="837">
      <c r="C837" s="148"/>
      <c r="G837" s="148"/>
      <c r="J837" s="149"/>
      <c r="K837" s="149"/>
    </row>
    <row r="838">
      <c r="C838" s="148"/>
      <c r="G838" s="148"/>
      <c r="J838" s="149"/>
      <c r="K838" s="149"/>
    </row>
    <row r="839">
      <c r="C839" s="148"/>
      <c r="G839" s="148"/>
      <c r="J839" s="149"/>
      <c r="K839" s="149"/>
    </row>
    <row r="840">
      <c r="C840" s="148"/>
      <c r="G840" s="148"/>
      <c r="J840" s="149"/>
      <c r="K840" s="149"/>
    </row>
    <row r="841">
      <c r="C841" s="148"/>
      <c r="G841" s="148"/>
      <c r="J841" s="149"/>
      <c r="K841" s="149"/>
    </row>
    <row r="842">
      <c r="C842" s="148"/>
      <c r="G842" s="148"/>
      <c r="J842" s="149"/>
      <c r="K842" s="149"/>
    </row>
    <row r="843">
      <c r="C843" s="148"/>
      <c r="G843" s="148"/>
      <c r="J843" s="149"/>
      <c r="K843" s="149"/>
    </row>
    <row r="844">
      <c r="C844" s="148"/>
      <c r="G844" s="148"/>
      <c r="J844" s="149"/>
      <c r="K844" s="149"/>
    </row>
    <row r="845">
      <c r="C845" s="148"/>
      <c r="G845" s="148"/>
      <c r="J845" s="149"/>
      <c r="K845" s="149"/>
    </row>
    <row r="846">
      <c r="C846" s="148"/>
      <c r="G846" s="148"/>
      <c r="J846" s="149"/>
      <c r="K846" s="149"/>
    </row>
    <row r="847">
      <c r="C847" s="148"/>
      <c r="G847" s="148"/>
      <c r="J847" s="149"/>
      <c r="K847" s="149"/>
    </row>
    <row r="848">
      <c r="C848" s="148"/>
      <c r="G848" s="148"/>
      <c r="J848" s="149"/>
      <c r="K848" s="149"/>
    </row>
    <row r="849">
      <c r="C849" s="148"/>
      <c r="G849" s="148"/>
      <c r="J849" s="149"/>
      <c r="K849" s="149"/>
    </row>
    <row r="850">
      <c r="C850" s="148"/>
      <c r="G850" s="148"/>
      <c r="J850" s="149"/>
      <c r="K850" s="149"/>
    </row>
    <row r="851">
      <c r="C851" s="148"/>
      <c r="G851" s="148"/>
      <c r="J851" s="149"/>
      <c r="K851" s="149"/>
    </row>
    <row r="852">
      <c r="C852" s="148"/>
      <c r="G852" s="148"/>
      <c r="J852" s="149"/>
      <c r="K852" s="149"/>
    </row>
    <row r="853">
      <c r="C853" s="148"/>
      <c r="G853" s="148"/>
      <c r="J853" s="149"/>
      <c r="K853" s="149"/>
    </row>
    <row r="854">
      <c r="C854" s="148"/>
      <c r="G854" s="148"/>
      <c r="J854" s="149"/>
      <c r="K854" s="149"/>
    </row>
    <row r="855">
      <c r="C855" s="148"/>
      <c r="G855" s="148"/>
      <c r="J855" s="149"/>
      <c r="K855" s="149"/>
    </row>
    <row r="856">
      <c r="C856" s="148"/>
      <c r="G856" s="148"/>
      <c r="J856" s="149"/>
      <c r="K856" s="149"/>
    </row>
    <row r="857">
      <c r="C857" s="148"/>
      <c r="G857" s="148"/>
      <c r="J857" s="149"/>
      <c r="K857" s="149"/>
    </row>
    <row r="858">
      <c r="C858" s="148"/>
      <c r="G858" s="148"/>
      <c r="J858" s="149"/>
      <c r="K858" s="149"/>
    </row>
    <row r="859">
      <c r="C859" s="148"/>
      <c r="G859" s="148"/>
      <c r="J859" s="149"/>
      <c r="K859" s="149"/>
    </row>
    <row r="860">
      <c r="C860" s="148"/>
      <c r="G860" s="148"/>
      <c r="J860" s="149"/>
      <c r="K860" s="149"/>
    </row>
    <row r="861">
      <c r="C861" s="148"/>
      <c r="G861" s="148"/>
      <c r="J861" s="149"/>
      <c r="K861" s="149"/>
    </row>
    <row r="862">
      <c r="C862" s="148"/>
      <c r="G862" s="148"/>
      <c r="J862" s="149"/>
      <c r="K862" s="149"/>
    </row>
    <row r="863">
      <c r="C863" s="148"/>
      <c r="G863" s="148"/>
      <c r="J863" s="149"/>
      <c r="K863" s="149"/>
    </row>
    <row r="864">
      <c r="C864" s="148"/>
      <c r="G864" s="148"/>
      <c r="J864" s="149"/>
      <c r="K864" s="149"/>
    </row>
    <row r="865">
      <c r="C865" s="148"/>
      <c r="G865" s="148"/>
      <c r="J865" s="149"/>
      <c r="K865" s="149"/>
    </row>
    <row r="866">
      <c r="C866" s="148"/>
      <c r="G866" s="148"/>
      <c r="J866" s="149"/>
      <c r="K866" s="149"/>
    </row>
    <row r="867">
      <c r="C867" s="148"/>
      <c r="G867" s="148"/>
      <c r="J867" s="149"/>
      <c r="K867" s="149"/>
    </row>
    <row r="868">
      <c r="C868" s="148"/>
      <c r="G868" s="148"/>
      <c r="J868" s="149"/>
      <c r="K868" s="149"/>
    </row>
    <row r="869">
      <c r="C869" s="148"/>
      <c r="G869" s="148"/>
      <c r="J869" s="149"/>
      <c r="K869" s="149"/>
    </row>
    <row r="870">
      <c r="C870" s="148"/>
      <c r="G870" s="148"/>
      <c r="J870" s="149"/>
      <c r="K870" s="149"/>
    </row>
    <row r="871">
      <c r="C871" s="148"/>
      <c r="G871" s="148"/>
      <c r="J871" s="149"/>
      <c r="K871" s="149"/>
    </row>
    <row r="872">
      <c r="C872" s="148"/>
      <c r="G872" s="148"/>
      <c r="J872" s="149"/>
      <c r="K872" s="149"/>
    </row>
    <row r="873">
      <c r="C873" s="148"/>
      <c r="G873" s="148"/>
      <c r="J873" s="149"/>
      <c r="K873" s="149"/>
    </row>
    <row r="874">
      <c r="C874" s="148"/>
      <c r="G874" s="148"/>
      <c r="J874" s="149"/>
      <c r="K874" s="149"/>
    </row>
    <row r="875">
      <c r="C875" s="148"/>
      <c r="G875" s="148"/>
      <c r="J875" s="149"/>
      <c r="K875" s="149"/>
    </row>
    <row r="876">
      <c r="C876" s="148"/>
      <c r="G876" s="148"/>
      <c r="J876" s="149"/>
      <c r="K876" s="149"/>
    </row>
    <row r="877">
      <c r="C877" s="148"/>
      <c r="G877" s="148"/>
      <c r="J877" s="149"/>
      <c r="K877" s="149"/>
    </row>
    <row r="878">
      <c r="C878" s="148"/>
      <c r="G878" s="148"/>
      <c r="J878" s="149"/>
      <c r="K878" s="149"/>
    </row>
    <row r="879">
      <c r="C879" s="148"/>
      <c r="G879" s="148"/>
      <c r="J879" s="149"/>
      <c r="K879" s="149"/>
    </row>
    <row r="880">
      <c r="C880" s="148"/>
      <c r="G880" s="148"/>
      <c r="J880" s="149"/>
      <c r="K880" s="149"/>
    </row>
    <row r="881">
      <c r="C881" s="148"/>
      <c r="G881" s="148"/>
      <c r="J881" s="149"/>
      <c r="K881" s="149"/>
    </row>
    <row r="882">
      <c r="C882" s="148"/>
      <c r="G882" s="148"/>
      <c r="J882" s="149"/>
      <c r="K882" s="149"/>
    </row>
    <row r="883">
      <c r="C883" s="148"/>
      <c r="G883" s="148"/>
      <c r="J883" s="149"/>
      <c r="K883" s="149"/>
    </row>
    <row r="884">
      <c r="C884" s="148"/>
      <c r="G884" s="148"/>
      <c r="J884" s="149"/>
      <c r="K884" s="149"/>
    </row>
    <row r="885">
      <c r="C885" s="148"/>
      <c r="G885" s="148"/>
      <c r="J885" s="149"/>
      <c r="K885" s="149"/>
    </row>
    <row r="886">
      <c r="C886" s="148"/>
      <c r="G886" s="148"/>
      <c r="J886" s="149"/>
      <c r="K886" s="149"/>
    </row>
    <row r="887">
      <c r="C887" s="148"/>
      <c r="G887" s="148"/>
      <c r="J887" s="149"/>
      <c r="K887" s="149"/>
    </row>
    <row r="888">
      <c r="C888" s="148"/>
      <c r="G888" s="148"/>
      <c r="J888" s="149"/>
      <c r="K888" s="149"/>
    </row>
    <row r="889">
      <c r="C889" s="148"/>
      <c r="G889" s="148"/>
      <c r="J889" s="149"/>
      <c r="K889" s="149"/>
    </row>
    <row r="890">
      <c r="C890" s="148"/>
      <c r="G890" s="148"/>
      <c r="J890" s="149"/>
      <c r="K890" s="149"/>
    </row>
    <row r="891">
      <c r="C891" s="148"/>
      <c r="G891" s="148"/>
      <c r="J891" s="149"/>
      <c r="K891" s="149"/>
    </row>
    <row r="892">
      <c r="C892" s="148"/>
      <c r="G892" s="148"/>
      <c r="J892" s="149"/>
      <c r="K892" s="149"/>
    </row>
    <row r="893">
      <c r="C893" s="148"/>
      <c r="G893" s="148"/>
      <c r="J893" s="149"/>
      <c r="K893" s="149"/>
    </row>
    <row r="894">
      <c r="C894" s="148"/>
      <c r="G894" s="148"/>
      <c r="J894" s="149"/>
      <c r="K894" s="149"/>
    </row>
    <row r="895">
      <c r="C895" s="148"/>
      <c r="G895" s="148"/>
      <c r="J895" s="149"/>
      <c r="K895" s="149"/>
    </row>
    <row r="896">
      <c r="C896" s="148"/>
      <c r="G896" s="148"/>
      <c r="J896" s="149"/>
      <c r="K896" s="149"/>
    </row>
    <row r="897">
      <c r="C897" s="148"/>
      <c r="G897" s="148"/>
      <c r="J897" s="149"/>
      <c r="K897" s="149"/>
    </row>
    <row r="898">
      <c r="C898" s="148"/>
      <c r="G898" s="148"/>
      <c r="J898" s="149"/>
      <c r="K898" s="149"/>
    </row>
    <row r="899">
      <c r="C899" s="148"/>
      <c r="G899" s="148"/>
      <c r="J899" s="149"/>
      <c r="K899" s="149"/>
    </row>
    <row r="900">
      <c r="C900" s="148"/>
      <c r="G900" s="148"/>
      <c r="J900" s="149"/>
      <c r="K900" s="149"/>
    </row>
    <row r="901">
      <c r="C901" s="148"/>
      <c r="G901" s="148"/>
      <c r="J901" s="149"/>
      <c r="K901" s="149"/>
    </row>
    <row r="902">
      <c r="C902" s="148"/>
      <c r="G902" s="148"/>
      <c r="J902" s="149"/>
      <c r="K902" s="149"/>
    </row>
    <row r="903">
      <c r="C903" s="148"/>
      <c r="G903" s="148"/>
      <c r="J903" s="149"/>
      <c r="K903" s="149"/>
    </row>
    <row r="904">
      <c r="C904" s="148"/>
      <c r="G904" s="148"/>
      <c r="J904" s="149"/>
      <c r="K904" s="149"/>
    </row>
    <row r="905">
      <c r="C905" s="148"/>
      <c r="G905" s="148"/>
      <c r="J905" s="149"/>
      <c r="K905" s="149"/>
    </row>
    <row r="906">
      <c r="C906" s="148"/>
      <c r="G906" s="148"/>
      <c r="J906" s="149"/>
      <c r="K906" s="149"/>
    </row>
    <row r="907">
      <c r="C907" s="148"/>
      <c r="G907" s="148"/>
      <c r="J907" s="149"/>
      <c r="K907" s="149"/>
    </row>
    <row r="908">
      <c r="C908" s="148"/>
      <c r="G908" s="148"/>
      <c r="J908" s="149"/>
      <c r="K908" s="149"/>
    </row>
    <row r="909">
      <c r="C909" s="148"/>
      <c r="G909" s="148"/>
      <c r="J909" s="149"/>
      <c r="K909" s="149"/>
    </row>
    <row r="910">
      <c r="C910" s="148"/>
      <c r="G910" s="148"/>
      <c r="J910" s="149"/>
      <c r="K910" s="149"/>
    </row>
    <row r="911">
      <c r="C911" s="148"/>
      <c r="G911" s="148"/>
      <c r="J911" s="149"/>
      <c r="K911" s="149"/>
    </row>
    <row r="912">
      <c r="C912" s="148"/>
      <c r="G912" s="148"/>
      <c r="J912" s="149"/>
      <c r="K912" s="149"/>
    </row>
    <row r="913">
      <c r="C913" s="148"/>
      <c r="G913" s="148"/>
      <c r="J913" s="149"/>
      <c r="K913" s="149"/>
    </row>
    <row r="914">
      <c r="C914" s="148"/>
      <c r="G914" s="148"/>
      <c r="J914" s="149"/>
      <c r="K914" s="149"/>
    </row>
    <row r="915">
      <c r="C915" s="148"/>
      <c r="G915" s="148"/>
      <c r="J915" s="149"/>
      <c r="K915" s="149"/>
    </row>
    <row r="916">
      <c r="C916" s="148"/>
      <c r="G916" s="148"/>
      <c r="J916" s="149"/>
      <c r="K916" s="149"/>
    </row>
    <row r="917">
      <c r="C917" s="148"/>
      <c r="G917" s="148"/>
      <c r="J917" s="149"/>
      <c r="K917" s="149"/>
    </row>
    <row r="918">
      <c r="C918" s="148"/>
      <c r="G918" s="148"/>
      <c r="J918" s="149"/>
      <c r="K918" s="149"/>
    </row>
    <row r="919">
      <c r="C919" s="148"/>
      <c r="G919" s="148"/>
      <c r="J919" s="149"/>
      <c r="K919" s="149"/>
    </row>
    <row r="920">
      <c r="C920" s="148"/>
      <c r="G920" s="148"/>
      <c r="J920" s="149"/>
      <c r="K920" s="149"/>
    </row>
    <row r="921">
      <c r="C921" s="148"/>
      <c r="G921" s="148"/>
      <c r="J921" s="149"/>
      <c r="K921" s="149"/>
    </row>
    <row r="922">
      <c r="C922" s="148"/>
      <c r="G922" s="148"/>
      <c r="J922" s="149"/>
      <c r="K922" s="149"/>
    </row>
    <row r="923">
      <c r="C923" s="148"/>
      <c r="G923" s="148"/>
      <c r="J923" s="149"/>
      <c r="K923" s="149"/>
    </row>
    <row r="924">
      <c r="C924" s="148"/>
      <c r="G924" s="148"/>
      <c r="J924" s="149"/>
      <c r="K924" s="149"/>
    </row>
    <row r="925">
      <c r="C925" s="148"/>
      <c r="G925" s="148"/>
      <c r="J925" s="149"/>
      <c r="K925" s="149"/>
    </row>
    <row r="926">
      <c r="C926" s="148"/>
      <c r="G926" s="148"/>
      <c r="J926" s="149"/>
      <c r="K926" s="149"/>
    </row>
    <row r="927">
      <c r="C927" s="148"/>
      <c r="G927" s="148"/>
      <c r="J927" s="149"/>
      <c r="K927" s="149"/>
    </row>
    <row r="928">
      <c r="C928" s="148"/>
      <c r="G928" s="148"/>
      <c r="J928" s="149"/>
      <c r="K928" s="149"/>
    </row>
    <row r="929">
      <c r="C929" s="148"/>
      <c r="G929" s="148"/>
      <c r="J929" s="149"/>
      <c r="K929" s="149"/>
    </row>
    <row r="930">
      <c r="C930" s="148"/>
      <c r="G930" s="148"/>
      <c r="J930" s="149"/>
      <c r="K930" s="149"/>
    </row>
    <row r="931">
      <c r="C931" s="148"/>
      <c r="G931" s="148"/>
      <c r="J931" s="149"/>
      <c r="K931" s="149"/>
    </row>
    <row r="932">
      <c r="C932" s="148"/>
      <c r="G932" s="148"/>
      <c r="J932" s="149"/>
      <c r="K932" s="149"/>
    </row>
    <row r="933">
      <c r="C933" s="148"/>
      <c r="G933" s="148"/>
      <c r="J933" s="149"/>
      <c r="K933" s="149"/>
    </row>
    <row r="934">
      <c r="C934" s="148"/>
      <c r="G934" s="148"/>
      <c r="J934" s="149"/>
      <c r="K934" s="149"/>
    </row>
    <row r="935">
      <c r="C935" s="148"/>
      <c r="G935" s="148"/>
      <c r="J935" s="149"/>
      <c r="K935" s="149"/>
    </row>
    <row r="936">
      <c r="C936" s="148"/>
      <c r="G936" s="148"/>
      <c r="J936" s="149"/>
      <c r="K936" s="149"/>
    </row>
    <row r="937">
      <c r="C937" s="148"/>
      <c r="G937" s="148"/>
      <c r="J937" s="149"/>
      <c r="K937" s="149"/>
    </row>
    <row r="938">
      <c r="C938" s="148"/>
      <c r="G938" s="148"/>
      <c r="J938" s="149"/>
      <c r="K938" s="149"/>
    </row>
    <row r="939">
      <c r="C939" s="148"/>
      <c r="G939" s="148"/>
      <c r="J939" s="149"/>
      <c r="K939" s="149"/>
    </row>
    <row r="940">
      <c r="C940" s="148"/>
      <c r="G940" s="148"/>
      <c r="J940" s="149"/>
      <c r="K940" s="149"/>
    </row>
    <row r="941">
      <c r="C941" s="148"/>
      <c r="G941" s="148"/>
      <c r="J941" s="149"/>
      <c r="K941" s="149"/>
    </row>
    <row r="942">
      <c r="C942" s="148"/>
      <c r="G942" s="148"/>
      <c r="J942" s="149"/>
      <c r="K942" s="149"/>
    </row>
    <row r="943">
      <c r="C943" s="148"/>
      <c r="G943" s="148"/>
      <c r="J943" s="149"/>
      <c r="K943" s="149"/>
    </row>
    <row r="944">
      <c r="C944" s="148"/>
      <c r="G944" s="148"/>
      <c r="J944" s="149"/>
      <c r="K944" s="149"/>
    </row>
    <row r="945">
      <c r="C945" s="148"/>
      <c r="G945" s="148"/>
      <c r="J945" s="149"/>
      <c r="K945" s="149"/>
    </row>
    <row r="946">
      <c r="C946" s="148"/>
      <c r="G946" s="148"/>
      <c r="J946" s="149"/>
      <c r="K946" s="149"/>
    </row>
    <row r="947">
      <c r="C947" s="148"/>
      <c r="G947" s="148"/>
      <c r="J947" s="149"/>
      <c r="K947" s="149"/>
    </row>
    <row r="948">
      <c r="C948" s="148"/>
      <c r="G948" s="148"/>
      <c r="J948" s="149"/>
      <c r="K948" s="149"/>
    </row>
    <row r="949">
      <c r="C949" s="148"/>
      <c r="G949" s="148"/>
      <c r="J949" s="149"/>
      <c r="K949" s="149"/>
    </row>
    <row r="950">
      <c r="C950" s="148"/>
      <c r="G950" s="148"/>
      <c r="J950" s="149"/>
      <c r="K950" s="149"/>
    </row>
    <row r="951">
      <c r="C951" s="148"/>
      <c r="G951" s="148"/>
      <c r="J951" s="149"/>
      <c r="K951" s="149"/>
    </row>
    <row r="952">
      <c r="C952" s="148"/>
      <c r="G952" s="148"/>
      <c r="J952" s="149"/>
      <c r="K952" s="149"/>
    </row>
    <row r="953">
      <c r="C953" s="148"/>
      <c r="G953" s="148"/>
      <c r="J953" s="149"/>
      <c r="K953" s="149"/>
    </row>
    <row r="954">
      <c r="C954" s="148"/>
      <c r="G954" s="148"/>
      <c r="J954" s="149"/>
      <c r="K954" s="149"/>
    </row>
    <row r="955">
      <c r="C955" s="148"/>
      <c r="G955" s="148"/>
      <c r="J955" s="149"/>
      <c r="K955" s="149"/>
    </row>
    <row r="956">
      <c r="C956" s="148"/>
      <c r="G956" s="148"/>
      <c r="J956" s="149"/>
      <c r="K956" s="149"/>
    </row>
    <row r="957">
      <c r="C957" s="148"/>
      <c r="G957" s="148"/>
      <c r="J957" s="149"/>
      <c r="K957" s="149"/>
    </row>
    <row r="958">
      <c r="C958" s="148"/>
      <c r="G958" s="148"/>
      <c r="J958" s="149"/>
      <c r="K958" s="149"/>
    </row>
    <row r="959">
      <c r="C959" s="148"/>
      <c r="G959" s="148"/>
      <c r="J959" s="149"/>
      <c r="K959" s="149"/>
    </row>
    <row r="960">
      <c r="C960" s="148"/>
      <c r="G960" s="148"/>
      <c r="J960" s="149"/>
      <c r="K960" s="149"/>
    </row>
    <row r="961">
      <c r="C961" s="148"/>
      <c r="G961" s="148"/>
      <c r="J961" s="149"/>
      <c r="K961" s="149"/>
    </row>
    <row r="962">
      <c r="C962" s="148"/>
      <c r="G962" s="148"/>
      <c r="J962" s="149"/>
      <c r="K962" s="149"/>
    </row>
    <row r="963">
      <c r="C963" s="148"/>
      <c r="G963" s="148"/>
      <c r="J963" s="149"/>
      <c r="K963" s="149"/>
    </row>
    <row r="964">
      <c r="C964" s="148"/>
      <c r="G964" s="148"/>
      <c r="J964" s="149"/>
      <c r="K964" s="149"/>
    </row>
    <row r="965">
      <c r="C965" s="148"/>
      <c r="G965" s="148"/>
      <c r="J965" s="149"/>
      <c r="K965" s="149"/>
    </row>
    <row r="966">
      <c r="C966" s="148"/>
      <c r="G966" s="148"/>
      <c r="J966" s="149"/>
      <c r="K966" s="149"/>
    </row>
    <row r="967">
      <c r="C967" s="148"/>
      <c r="G967" s="148"/>
      <c r="J967" s="149"/>
      <c r="K967" s="149"/>
    </row>
    <row r="968">
      <c r="C968" s="148"/>
      <c r="G968" s="148"/>
      <c r="J968" s="149"/>
      <c r="K968" s="149"/>
    </row>
    <row r="969">
      <c r="C969" s="148"/>
      <c r="G969" s="148"/>
      <c r="J969" s="149"/>
      <c r="K969" s="149"/>
    </row>
    <row r="970">
      <c r="C970" s="148"/>
      <c r="G970" s="148"/>
      <c r="J970" s="149"/>
      <c r="K970" s="149"/>
    </row>
    <row r="971">
      <c r="C971" s="148"/>
      <c r="G971" s="148"/>
      <c r="J971" s="149"/>
      <c r="K971" s="149"/>
    </row>
    <row r="972">
      <c r="C972" s="148"/>
      <c r="G972" s="148"/>
      <c r="J972" s="149"/>
      <c r="K972" s="149"/>
    </row>
    <row r="973">
      <c r="C973" s="148"/>
      <c r="G973" s="148"/>
      <c r="J973" s="149"/>
      <c r="K973" s="149"/>
    </row>
    <row r="974">
      <c r="C974" s="148"/>
      <c r="G974" s="148"/>
      <c r="J974" s="149"/>
      <c r="K974" s="149"/>
    </row>
    <row r="975">
      <c r="C975" s="148"/>
      <c r="G975" s="148"/>
      <c r="J975" s="149"/>
      <c r="K975" s="149"/>
    </row>
    <row r="976">
      <c r="C976" s="148"/>
      <c r="G976" s="148"/>
      <c r="J976" s="149"/>
      <c r="K976" s="149"/>
    </row>
    <row r="977">
      <c r="C977" s="148"/>
      <c r="G977" s="148"/>
      <c r="J977" s="149"/>
      <c r="K977" s="149"/>
    </row>
    <row r="978">
      <c r="C978" s="148"/>
      <c r="G978" s="148"/>
      <c r="J978" s="149"/>
      <c r="K978" s="149"/>
    </row>
    <row r="979">
      <c r="C979" s="148"/>
      <c r="G979" s="148"/>
      <c r="J979" s="149"/>
      <c r="K979" s="149"/>
    </row>
    <row r="980">
      <c r="C980" s="148"/>
      <c r="G980" s="148"/>
      <c r="J980" s="149"/>
      <c r="K980" s="149"/>
    </row>
    <row r="981">
      <c r="C981" s="148"/>
      <c r="G981" s="148"/>
      <c r="J981" s="149"/>
      <c r="K981" s="149"/>
    </row>
    <row r="982">
      <c r="C982" s="148"/>
      <c r="G982" s="148"/>
      <c r="J982" s="149"/>
      <c r="K982" s="149"/>
    </row>
    <row r="983">
      <c r="C983" s="148"/>
      <c r="G983" s="148"/>
      <c r="J983" s="149"/>
      <c r="K983" s="149"/>
    </row>
    <row r="984">
      <c r="C984" s="148"/>
      <c r="G984" s="148"/>
      <c r="J984" s="149"/>
      <c r="K984" s="149"/>
    </row>
    <row r="985">
      <c r="C985" s="148"/>
      <c r="G985" s="148"/>
      <c r="J985" s="149"/>
      <c r="K985" s="149"/>
    </row>
    <row r="986">
      <c r="C986" s="148"/>
      <c r="G986" s="148"/>
      <c r="J986" s="149"/>
      <c r="K986" s="149"/>
    </row>
    <row r="987">
      <c r="C987" s="148"/>
      <c r="G987" s="148"/>
      <c r="J987" s="149"/>
      <c r="K987" s="149"/>
    </row>
    <row r="988">
      <c r="C988" s="148"/>
      <c r="G988" s="148"/>
      <c r="J988" s="149"/>
      <c r="K988" s="149"/>
    </row>
    <row r="989">
      <c r="C989" s="148"/>
      <c r="G989" s="148"/>
      <c r="J989" s="149"/>
      <c r="K989" s="149"/>
    </row>
    <row r="990">
      <c r="C990" s="148"/>
      <c r="G990" s="148"/>
      <c r="J990" s="149"/>
      <c r="K990" s="149"/>
    </row>
    <row r="991">
      <c r="C991" s="148"/>
      <c r="G991" s="148"/>
      <c r="J991" s="149"/>
      <c r="K991" s="149"/>
    </row>
    <row r="992">
      <c r="C992" s="148"/>
      <c r="G992" s="148"/>
      <c r="J992" s="149"/>
      <c r="K992" s="149"/>
    </row>
    <row r="993">
      <c r="C993" s="148"/>
      <c r="G993" s="148"/>
      <c r="J993" s="149"/>
      <c r="K993" s="149"/>
    </row>
    <row r="994">
      <c r="C994" s="148"/>
      <c r="G994" s="148"/>
      <c r="J994" s="149"/>
      <c r="K994" s="149"/>
    </row>
    <row r="995">
      <c r="C995" s="148"/>
      <c r="G995" s="148"/>
      <c r="J995" s="149"/>
      <c r="K995" s="149"/>
    </row>
    <row r="996">
      <c r="C996" s="148"/>
      <c r="G996" s="148"/>
      <c r="J996" s="149"/>
      <c r="K996" s="149"/>
    </row>
    <row r="997">
      <c r="C997" s="148"/>
      <c r="G997" s="148"/>
      <c r="J997" s="149"/>
      <c r="K997" s="149"/>
    </row>
    <row r="998">
      <c r="C998" s="148"/>
      <c r="G998" s="148"/>
      <c r="J998" s="149"/>
      <c r="K998" s="149"/>
    </row>
    <row r="999">
      <c r="C999" s="148"/>
      <c r="G999" s="148"/>
      <c r="J999" s="149"/>
      <c r="K999" s="149"/>
    </row>
    <row r="1000">
      <c r="C1000" s="148"/>
      <c r="G1000" s="148"/>
      <c r="J1000" s="149"/>
      <c r="K1000" s="149"/>
    </row>
    <row r="1001">
      <c r="C1001" s="148"/>
      <c r="G1001" s="148"/>
      <c r="J1001" s="149"/>
      <c r="K1001" s="149"/>
    </row>
    <row r="1002">
      <c r="C1002" s="148"/>
      <c r="G1002" s="148"/>
      <c r="J1002" s="149"/>
      <c r="K1002" s="149"/>
    </row>
    <row r="1003">
      <c r="C1003" s="148"/>
      <c r="G1003" s="148"/>
      <c r="J1003" s="149"/>
      <c r="K1003" s="149"/>
    </row>
    <row r="1004">
      <c r="C1004" s="148"/>
      <c r="G1004" s="148"/>
      <c r="J1004" s="149"/>
      <c r="K1004" s="149"/>
    </row>
    <row r="1005">
      <c r="C1005" s="148"/>
      <c r="G1005" s="148"/>
      <c r="J1005" s="149"/>
      <c r="K1005" s="149"/>
    </row>
    <row r="1006">
      <c r="C1006" s="148"/>
      <c r="G1006" s="148"/>
      <c r="J1006" s="149"/>
      <c r="K1006" s="149"/>
    </row>
    <row r="1007">
      <c r="C1007" s="148"/>
      <c r="G1007" s="148"/>
      <c r="J1007" s="149"/>
      <c r="K1007" s="149"/>
    </row>
    <row r="1008">
      <c r="C1008" s="148"/>
      <c r="G1008" s="148"/>
      <c r="J1008" s="149"/>
      <c r="K1008" s="149"/>
    </row>
    <row r="1009">
      <c r="C1009" s="148"/>
      <c r="G1009" s="148"/>
      <c r="J1009" s="149"/>
      <c r="K1009" s="149"/>
    </row>
    <row r="1010">
      <c r="C1010" s="148"/>
      <c r="G1010" s="148"/>
      <c r="J1010" s="149"/>
      <c r="K1010" s="149"/>
    </row>
    <row r="1011">
      <c r="C1011" s="148"/>
      <c r="G1011" s="148"/>
      <c r="J1011" s="149"/>
      <c r="K1011" s="149"/>
    </row>
    <row r="1012">
      <c r="C1012" s="148"/>
      <c r="G1012" s="148"/>
      <c r="J1012" s="149"/>
      <c r="K1012" s="149"/>
    </row>
    <row r="1013">
      <c r="C1013" s="148"/>
      <c r="G1013" s="148"/>
      <c r="J1013" s="149"/>
      <c r="K1013" s="149"/>
    </row>
    <row r="1014">
      <c r="C1014" s="148"/>
      <c r="G1014" s="148"/>
      <c r="J1014" s="149"/>
      <c r="K1014" s="149"/>
    </row>
    <row r="1015">
      <c r="C1015" s="148"/>
      <c r="G1015" s="148"/>
      <c r="J1015" s="149"/>
      <c r="K1015" s="149"/>
    </row>
    <row r="1016">
      <c r="C1016" s="148"/>
      <c r="G1016" s="148"/>
      <c r="J1016" s="149"/>
      <c r="K1016" s="149"/>
    </row>
    <row r="1017">
      <c r="C1017" s="148"/>
      <c r="G1017" s="148"/>
      <c r="J1017" s="149"/>
      <c r="K1017" s="149"/>
    </row>
    <row r="1018">
      <c r="C1018" s="148"/>
      <c r="G1018" s="148"/>
      <c r="J1018" s="149"/>
      <c r="K1018" s="149"/>
    </row>
    <row r="1019">
      <c r="C1019" s="148"/>
      <c r="G1019" s="148"/>
      <c r="J1019" s="149"/>
      <c r="K1019" s="149"/>
    </row>
    <row r="1020">
      <c r="C1020" s="148"/>
      <c r="G1020" s="148"/>
      <c r="J1020" s="149"/>
      <c r="K1020" s="149"/>
    </row>
    <row r="1021">
      <c r="C1021" s="148"/>
      <c r="G1021" s="148"/>
      <c r="J1021" s="149"/>
      <c r="K1021" s="149"/>
    </row>
    <row r="1022">
      <c r="C1022" s="148"/>
      <c r="G1022" s="148"/>
      <c r="J1022" s="149"/>
      <c r="K1022" s="149"/>
    </row>
    <row r="1023">
      <c r="C1023" s="148"/>
      <c r="G1023" s="148"/>
      <c r="J1023" s="149"/>
      <c r="K1023" s="149"/>
    </row>
    <row r="1024">
      <c r="C1024" s="148"/>
      <c r="G1024" s="148"/>
      <c r="J1024" s="149"/>
      <c r="K1024" s="149"/>
    </row>
    <row r="1025">
      <c r="C1025" s="148"/>
      <c r="G1025" s="148"/>
      <c r="J1025" s="149"/>
      <c r="K1025" s="149"/>
    </row>
    <row r="1026">
      <c r="C1026" s="148"/>
      <c r="G1026" s="148"/>
      <c r="J1026" s="149"/>
      <c r="K1026" s="149"/>
    </row>
  </sheetData>
  <autoFilter ref="$A$3:$K$60"/>
  <mergeCells count="5">
    <mergeCell ref="B24:B26"/>
    <mergeCell ref="C25:C26"/>
    <mergeCell ref="B46:B47"/>
    <mergeCell ref="D46:D47"/>
    <mergeCell ref="A57:H57"/>
  </mergeCells>
  <hyperlinks>
    <hyperlink r:id="rId2" ref="J22"/>
    <hyperlink r:id="rId3" ref="J42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8.43"/>
    <col customWidth="1" min="3" max="3" width="65.86"/>
    <col customWidth="1" min="4" max="4" width="35.0"/>
    <col customWidth="1" min="5" max="5" width="32.43"/>
    <col customWidth="1" min="6" max="8" width="22.14"/>
    <col customWidth="1" min="9" max="9" width="39.71"/>
    <col customWidth="1" min="10" max="10" width="32.43"/>
    <col customWidth="1" min="11" max="11" width="39.71"/>
  </cols>
  <sheetData>
    <row r="1" ht="17.25" customHeight="1">
      <c r="H1" s="133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</row>
    <row r="2" ht="17.25" customHeight="1">
      <c r="B2" s="214" t="s">
        <v>447</v>
      </c>
      <c r="C2" s="215" t="s">
        <v>162</v>
      </c>
      <c r="D2" s="200"/>
      <c r="E2" s="200"/>
      <c r="F2" s="200"/>
      <c r="G2" s="200"/>
      <c r="H2" s="216"/>
      <c r="I2" s="200"/>
      <c r="J2" s="200"/>
      <c r="K2" s="200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</row>
    <row r="3" ht="17.25" customHeight="1">
      <c r="A3" s="5" t="s">
        <v>3</v>
      </c>
      <c r="B3" s="217" t="s">
        <v>450</v>
      </c>
      <c r="C3" s="218" t="s">
        <v>451</v>
      </c>
      <c r="D3" s="218" t="s">
        <v>165</v>
      </c>
      <c r="E3" s="218" t="s">
        <v>166</v>
      </c>
      <c r="F3" s="217" t="s">
        <v>452</v>
      </c>
      <c r="G3" s="217" t="s">
        <v>454</v>
      </c>
      <c r="H3" s="217" t="s">
        <v>455</v>
      </c>
      <c r="I3" s="218" t="s">
        <v>12</v>
      </c>
      <c r="J3" s="158" t="s">
        <v>456</v>
      </c>
      <c r="K3" s="220"/>
      <c r="L3" s="86"/>
    </row>
    <row r="4" ht="17.25" customHeight="1">
      <c r="A4" s="1" t="s">
        <v>326</v>
      </c>
      <c r="B4" s="221">
        <v>45597.0</v>
      </c>
      <c r="C4" s="163" t="s">
        <v>172</v>
      </c>
      <c r="D4" s="163" t="s">
        <v>175</v>
      </c>
      <c r="E4" s="163" t="s">
        <v>178</v>
      </c>
      <c r="F4" s="223"/>
      <c r="G4" s="223">
        <v>45601.0</v>
      </c>
      <c r="H4" s="224"/>
      <c r="I4" s="163" t="s">
        <v>22</v>
      </c>
      <c r="J4" s="163"/>
      <c r="K4" s="200"/>
    </row>
    <row r="5" ht="17.25" customHeight="1">
      <c r="A5" s="1"/>
      <c r="B5" s="226"/>
      <c r="C5" s="200"/>
      <c r="D5" s="200"/>
      <c r="E5" s="200"/>
      <c r="F5" s="228"/>
      <c r="G5" s="228"/>
      <c r="H5" s="230"/>
      <c r="I5" s="200"/>
      <c r="J5" s="200"/>
      <c r="K5" s="200"/>
    </row>
    <row r="6" ht="17.25" customHeight="1">
      <c r="A6" s="1" t="s">
        <v>326</v>
      </c>
      <c r="B6" s="231">
        <v>45689.0</v>
      </c>
      <c r="C6" s="163" t="s">
        <v>275</v>
      </c>
      <c r="D6" s="163" t="s">
        <v>276</v>
      </c>
      <c r="E6" s="163" t="s">
        <v>277</v>
      </c>
      <c r="F6" s="223"/>
      <c r="G6" s="223">
        <v>45691.0</v>
      </c>
      <c r="H6" s="224"/>
      <c r="I6" s="163" t="s">
        <v>22</v>
      </c>
      <c r="J6" s="163"/>
      <c r="K6" s="233"/>
      <c r="X6" s="128"/>
      <c r="Y6" s="128"/>
      <c r="Z6" s="128"/>
      <c r="AA6" s="128"/>
      <c r="AB6" s="128"/>
      <c r="AC6" s="128"/>
      <c r="AD6" s="128"/>
    </row>
    <row r="7" ht="17.25" customHeight="1">
      <c r="A7" s="1"/>
      <c r="B7" s="226"/>
      <c r="C7" s="200"/>
      <c r="D7" s="200"/>
      <c r="E7" s="200"/>
      <c r="F7" s="228"/>
      <c r="G7" s="228"/>
      <c r="H7" s="230"/>
      <c r="I7" s="200"/>
      <c r="J7" s="200"/>
      <c r="K7" s="233"/>
    </row>
    <row r="8" ht="17.25" customHeight="1">
      <c r="A8" s="1" t="s">
        <v>326</v>
      </c>
      <c r="B8" s="231">
        <v>45717.0</v>
      </c>
      <c r="C8" s="163" t="s">
        <v>186</v>
      </c>
      <c r="D8" s="163" t="s">
        <v>187</v>
      </c>
      <c r="E8" s="163" t="s">
        <v>178</v>
      </c>
      <c r="F8" s="223"/>
      <c r="G8" s="223">
        <v>45741.0</v>
      </c>
      <c r="H8" s="224"/>
      <c r="I8" s="163" t="s">
        <v>22</v>
      </c>
      <c r="J8" s="163"/>
      <c r="K8" s="233"/>
    </row>
    <row r="9" ht="17.25" customHeight="1">
      <c r="A9" s="54" t="s">
        <v>326</v>
      </c>
      <c r="B9" s="179"/>
      <c r="C9" s="179" t="s">
        <v>236</v>
      </c>
      <c r="D9" s="179" t="s">
        <v>237</v>
      </c>
      <c r="E9" s="179" t="s">
        <v>239</v>
      </c>
      <c r="F9" s="235"/>
      <c r="G9" s="235">
        <v>45742.0</v>
      </c>
      <c r="H9" s="236"/>
      <c r="I9" s="179" t="s">
        <v>22</v>
      </c>
      <c r="J9" s="179"/>
      <c r="K9" s="233"/>
    </row>
    <row r="10" ht="17.25" customHeight="1">
      <c r="A10" s="1"/>
      <c r="B10" s="163"/>
      <c r="C10" s="163"/>
      <c r="D10" s="163"/>
      <c r="E10" s="163"/>
      <c r="F10" s="238"/>
      <c r="G10" s="238"/>
      <c r="H10" s="241"/>
      <c r="I10" s="163"/>
      <c r="J10" s="163"/>
      <c r="K10" s="233"/>
      <c r="X10" s="128"/>
      <c r="Y10" s="128"/>
      <c r="Z10" s="128"/>
      <c r="AA10" s="128"/>
      <c r="AB10" s="128"/>
      <c r="AC10" s="128"/>
      <c r="AD10" s="128"/>
    </row>
    <row r="11" ht="17.25" customHeight="1">
      <c r="A11" s="1" t="s">
        <v>411</v>
      </c>
      <c r="B11" s="242">
        <v>45748.0</v>
      </c>
      <c r="C11" s="200" t="s">
        <v>197</v>
      </c>
      <c r="D11" s="244" t="s">
        <v>199</v>
      </c>
      <c r="E11" s="200" t="s">
        <v>178</v>
      </c>
      <c r="F11" s="245"/>
      <c r="G11" s="245">
        <v>45759.0</v>
      </c>
      <c r="H11" s="246"/>
      <c r="I11" s="200" t="s">
        <v>22</v>
      </c>
      <c r="J11" s="200"/>
      <c r="K11" s="247"/>
      <c r="L11" s="86"/>
    </row>
    <row r="12" ht="29.25" customHeight="1">
      <c r="A12" s="1" t="s">
        <v>326</v>
      </c>
      <c r="B12" s="183"/>
      <c r="C12" s="183" t="s">
        <v>246</v>
      </c>
      <c r="D12" s="163" t="s">
        <v>247</v>
      </c>
      <c r="E12" s="163" t="s">
        <v>239</v>
      </c>
      <c r="F12" s="238"/>
      <c r="G12" s="238">
        <v>45776.0</v>
      </c>
      <c r="H12" s="241"/>
      <c r="I12" s="163" t="s">
        <v>22</v>
      </c>
      <c r="J12" s="163"/>
      <c r="K12" s="247"/>
      <c r="X12" s="128"/>
      <c r="Y12" s="128"/>
      <c r="Z12" s="128"/>
      <c r="AA12" s="128"/>
      <c r="AB12" s="128"/>
      <c r="AC12" s="128"/>
      <c r="AD12" s="128"/>
    </row>
    <row r="13" ht="17.25" customHeight="1">
      <c r="A13" s="1"/>
      <c r="B13" s="244"/>
      <c r="C13" s="244"/>
      <c r="D13" s="200"/>
      <c r="E13" s="200"/>
      <c r="F13" s="245"/>
      <c r="G13" s="245"/>
      <c r="H13" s="246"/>
      <c r="I13" s="200"/>
      <c r="J13" s="200"/>
      <c r="K13" s="247"/>
    </row>
    <row r="14" ht="17.25" customHeight="1">
      <c r="A14" s="1"/>
      <c r="B14" s="231">
        <v>45809.0</v>
      </c>
      <c r="C14" s="163" t="s">
        <v>283</v>
      </c>
      <c r="D14" s="163" t="s">
        <v>284</v>
      </c>
      <c r="E14" s="163" t="s">
        <v>286</v>
      </c>
      <c r="F14" s="223"/>
      <c r="G14" s="223">
        <v>45829.0</v>
      </c>
      <c r="H14" s="224"/>
      <c r="I14" s="163" t="s">
        <v>289</v>
      </c>
      <c r="J14" s="163"/>
      <c r="K14" s="233"/>
    </row>
    <row r="15" ht="17.25" customHeight="1">
      <c r="A15" s="1"/>
      <c r="B15" s="237"/>
      <c r="C15" s="200"/>
      <c r="D15" s="200"/>
      <c r="E15" s="200"/>
      <c r="F15" s="228"/>
      <c r="G15" s="228"/>
      <c r="H15" s="230"/>
      <c r="I15" s="200"/>
      <c r="J15" s="200"/>
      <c r="K15" s="233"/>
    </row>
    <row r="16" ht="17.25" customHeight="1">
      <c r="A16" s="1" t="s">
        <v>411</v>
      </c>
      <c r="B16" s="231">
        <v>45839.0</v>
      </c>
      <c r="C16" s="163" t="s">
        <v>205</v>
      </c>
      <c r="D16" s="183" t="s">
        <v>208</v>
      </c>
      <c r="E16" s="163" t="s">
        <v>178</v>
      </c>
      <c r="F16" s="223"/>
      <c r="G16" s="223">
        <v>45852.0</v>
      </c>
      <c r="H16" s="224"/>
      <c r="I16" s="163" t="s">
        <v>22</v>
      </c>
      <c r="J16" s="163"/>
      <c r="K16" s="233"/>
      <c r="X16" s="128"/>
      <c r="Y16" s="128"/>
      <c r="Z16" s="128"/>
      <c r="AA16" s="128"/>
      <c r="AB16" s="128"/>
      <c r="AC16" s="128"/>
      <c r="AD16" s="128"/>
    </row>
    <row r="17" ht="17.25" customHeight="1">
      <c r="A17" s="1" t="s">
        <v>326</v>
      </c>
      <c r="B17" s="255"/>
      <c r="C17" s="171" t="s">
        <v>213</v>
      </c>
      <c r="D17" s="191" t="s">
        <v>214</v>
      </c>
      <c r="E17" s="171" t="s">
        <v>178</v>
      </c>
      <c r="F17" s="258"/>
      <c r="G17" s="258">
        <v>45854.0</v>
      </c>
      <c r="H17" s="260"/>
      <c r="I17" s="171" t="s">
        <v>22</v>
      </c>
      <c r="J17" s="171"/>
      <c r="K17" s="262"/>
    </row>
    <row r="18" ht="17.25" customHeight="1">
      <c r="A18" s="54"/>
      <c r="B18" s="163"/>
      <c r="C18" s="163"/>
      <c r="D18" s="163"/>
      <c r="E18" s="163"/>
      <c r="F18" s="238"/>
      <c r="G18" s="238"/>
      <c r="H18" s="241"/>
      <c r="I18" s="163"/>
      <c r="J18" s="163"/>
      <c r="K18" s="233"/>
    </row>
    <row r="19" ht="17.25" customHeight="1">
      <c r="A19" s="1" t="s">
        <v>326</v>
      </c>
      <c r="B19" s="267">
        <v>45870.0</v>
      </c>
      <c r="C19" s="171" t="s">
        <v>296</v>
      </c>
      <c r="D19" s="171" t="s">
        <v>298</v>
      </c>
      <c r="E19" s="171" t="s">
        <v>299</v>
      </c>
      <c r="F19" s="258"/>
      <c r="G19" s="258">
        <v>45874.0</v>
      </c>
      <c r="H19" s="260"/>
      <c r="I19" s="171" t="s">
        <v>301</v>
      </c>
      <c r="J19" s="171"/>
      <c r="K19" s="233"/>
      <c r="X19" s="211"/>
      <c r="Y19" s="211"/>
      <c r="Z19" s="211"/>
      <c r="AA19" s="211"/>
      <c r="AB19" s="211"/>
      <c r="AC19" s="211"/>
      <c r="AD19" s="211"/>
    </row>
    <row r="20" ht="17.25" customHeight="1">
      <c r="A20" s="1" t="s">
        <v>326</v>
      </c>
      <c r="B20" s="163"/>
      <c r="C20" s="163" t="s">
        <v>221</v>
      </c>
      <c r="D20" s="163" t="s">
        <v>224</v>
      </c>
      <c r="E20" s="163" t="s">
        <v>178</v>
      </c>
      <c r="F20" s="223"/>
      <c r="G20" s="223">
        <v>45883.0</v>
      </c>
      <c r="H20" s="224"/>
      <c r="I20" s="163" t="s">
        <v>22</v>
      </c>
      <c r="J20" s="163"/>
      <c r="K20" s="233"/>
      <c r="X20" s="211"/>
      <c r="Y20" s="211"/>
      <c r="Z20" s="211"/>
      <c r="AA20" s="211"/>
      <c r="AB20" s="211"/>
      <c r="AC20" s="211"/>
      <c r="AD20" s="211"/>
    </row>
    <row r="21" ht="17.25" customHeight="1">
      <c r="A21" s="1" t="s">
        <v>411</v>
      </c>
      <c r="B21" s="171"/>
      <c r="C21" s="171" t="s">
        <v>227</v>
      </c>
      <c r="D21" s="171" t="s">
        <v>228</v>
      </c>
      <c r="E21" s="171" t="s">
        <v>178</v>
      </c>
      <c r="F21" s="258"/>
      <c r="G21" s="258">
        <v>45889.0</v>
      </c>
      <c r="H21" s="260"/>
      <c r="I21" s="171" t="s">
        <v>22</v>
      </c>
      <c r="J21" s="171"/>
      <c r="K21" s="233"/>
      <c r="X21" s="211"/>
      <c r="Y21" s="211"/>
      <c r="Z21" s="211"/>
      <c r="AA21" s="211"/>
      <c r="AB21" s="211"/>
      <c r="AC21" s="211"/>
      <c r="AD21" s="211"/>
    </row>
    <row r="22" ht="17.25" customHeight="1">
      <c r="A22" s="1"/>
      <c r="B22" s="171"/>
      <c r="C22" s="171"/>
      <c r="D22" s="171"/>
      <c r="E22" s="171"/>
      <c r="F22" s="258"/>
      <c r="G22" s="258"/>
      <c r="H22" s="260"/>
      <c r="I22" s="171"/>
      <c r="J22" s="171"/>
      <c r="K22" s="233"/>
      <c r="X22" s="211"/>
      <c r="Y22" s="211"/>
      <c r="Z22" s="211"/>
      <c r="AA22" s="211"/>
      <c r="AB22" s="211"/>
      <c r="AC22" s="211"/>
      <c r="AD22" s="211"/>
    </row>
    <row r="23" ht="17.25" customHeight="1">
      <c r="A23" s="1" t="s">
        <v>326</v>
      </c>
      <c r="B23" s="231">
        <v>45901.0</v>
      </c>
      <c r="C23" s="163" t="s">
        <v>311</v>
      </c>
      <c r="D23" s="163" t="s">
        <v>312</v>
      </c>
      <c r="E23" s="163" t="s">
        <v>313</v>
      </c>
      <c r="F23" s="238"/>
      <c r="G23" s="238">
        <v>45909.0</v>
      </c>
      <c r="H23" s="241"/>
      <c r="I23" s="163" t="s">
        <v>314</v>
      </c>
      <c r="J23" s="163"/>
      <c r="K23" s="247"/>
      <c r="X23" s="211"/>
      <c r="Y23" s="211"/>
      <c r="Z23" s="211"/>
      <c r="AA23" s="211"/>
      <c r="AB23" s="211"/>
      <c r="AC23" s="211"/>
      <c r="AD23" s="211"/>
    </row>
    <row r="24" ht="17.25" customHeight="1">
      <c r="A24" s="1" t="s">
        <v>326</v>
      </c>
      <c r="B24" s="171"/>
      <c r="C24" s="171" t="s">
        <v>253</v>
      </c>
      <c r="D24" s="171" t="s">
        <v>256</v>
      </c>
      <c r="E24" s="171" t="s">
        <v>239</v>
      </c>
      <c r="F24" s="194"/>
      <c r="G24" s="194">
        <v>45917.0</v>
      </c>
      <c r="H24" s="280"/>
      <c r="I24" s="191" t="s">
        <v>262</v>
      </c>
      <c r="J24" s="171"/>
      <c r="K24" s="247"/>
      <c r="X24" s="211"/>
      <c r="Y24" s="211"/>
      <c r="Z24" s="211"/>
      <c r="AA24" s="211"/>
      <c r="AB24" s="211"/>
      <c r="AC24" s="211"/>
      <c r="AD24" s="211"/>
    </row>
    <row r="25" ht="17.25" customHeight="1">
      <c r="A25" s="1" t="s">
        <v>411</v>
      </c>
      <c r="B25" s="163"/>
      <c r="C25" s="163" t="s">
        <v>429</v>
      </c>
      <c r="D25" s="163" t="s">
        <v>430</v>
      </c>
      <c r="E25" s="163" t="s">
        <v>178</v>
      </c>
      <c r="F25" s="238"/>
      <c r="G25" s="238">
        <v>45924.0</v>
      </c>
      <c r="H25" s="241"/>
      <c r="I25" s="183" t="s">
        <v>22</v>
      </c>
      <c r="J25" s="163"/>
      <c r="K25" s="247"/>
      <c r="X25" s="211"/>
      <c r="Y25" s="211"/>
      <c r="Z25" s="211"/>
      <c r="AA25" s="211"/>
      <c r="AB25" s="211"/>
      <c r="AC25" s="211"/>
      <c r="AD25" s="211"/>
    </row>
    <row r="26" ht="17.25" customHeight="1">
      <c r="A26" s="1" t="s">
        <v>326</v>
      </c>
      <c r="B26" s="171"/>
      <c r="C26" s="171" t="s">
        <v>267</v>
      </c>
      <c r="D26" s="171" t="s">
        <v>268</v>
      </c>
      <c r="E26" s="171" t="s">
        <v>239</v>
      </c>
      <c r="F26" s="258"/>
      <c r="G26" s="258"/>
      <c r="H26" s="260"/>
      <c r="I26" s="191" t="s">
        <v>271</v>
      </c>
      <c r="J26" s="171"/>
      <c r="K26" s="228"/>
      <c r="X26" s="211"/>
      <c r="Y26" s="211"/>
      <c r="Z26" s="211"/>
      <c r="AA26" s="211"/>
      <c r="AB26" s="211"/>
      <c r="AC26" s="211"/>
      <c r="AD26" s="211"/>
    </row>
    <row r="27" ht="17.25" customHeight="1">
      <c r="A27" s="1"/>
      <c r="B27" s="163"/>
      <c r="C27" s="163"/>
      <c r="D27" s="163"/>
      <c r="E27" s="163"/>
      <c r="F27" s="223"/>
      <c r="G27" s="223"/>
      <c r="H27" s="224"/>
      <c r="I27" s="183"/>
      <c r="J27" s="163"/>
      <c r="K27" s="228"/>
      <c r="X27" s="128"/>
      <c r="Y27" s="128"/>
      <c r="Z27" s="128"/>
      <c r="AA27" s="128"/>
      <c r="AB27" s="128"/>
      <c r="AC27" s="128"/>
      <c r="AD27" s="128"/>
    </row>
    <row r="28" ht="17.25" customHeight="1">
      <c r="A28" s="86" t="s">
        <v>411</v>
      </c>
      <c r="B28" s="242">
        <v>45962.0</v>
      </c>
      <c r="C28" s="237" t="s">
        <v>559</v>
      </c>
      <c r="D28" s="237" t="s">
        <v>560</v>
      </c>
      <c r="E28" s="237" t="s">
        <v>561</v>
      </c>
      <c r="F28" s="157"/>
      <c r="G28" s="157">
        <v>45971.0</v>
      </c>
      <c r="H28" s="105"/>
      <c r="I28" s="301" t="s">
        <v>22</v>
      </c>
      <c r="J28" s="237"/>
      <c r="K28" s="233"/>
    </row>
    <row r="29" ht="17.25" customHeight="1">
      <c r="A29" s="86" t="s">
        <v>411</v>
      </c>
      <c r="B29" s="192"/>
      <c r="C29" s="192" t="s">
        <v>564</v>
      </c>
      <c r="D29" s="192" t="s">
        <v>565</v>
      </c>
      <c r="E29" s="192" t="s">
        <v>561</v>
      </c>
      <c r="F29" s="164"/>
      <c r="G29" s="164">
        <v>45971.0</v>
      </c>
      <c r="H29" s="101"/>
      <c r="I29" s="304" t="s">
        <v>22</v>
      </c>
      <c r="J29" s="192"/>
      <c r="K29" s="233"/>
      <c r="X29" s="128"/>
      <c r="Y29" s="128"/>
      <c r="Z29" s="128"/>
      <c r="AA29" s="128"/>
      <c r="AB29" s="128"/>
      <c r="AC29" s="128"/>
      <c r="AD29" s="128"/>
    </row>
    <row r="30" ht="17.25" customHeight="1">
      <c r="A30" s="59" t="s">
        <v>411</v>
      </c>
      <c r="B30" s="237"/>
      <c r="C30" s="237" t="s">
        <v>571</v>
      </c>
      <c r="D30" s="237" t="s">
        <v>573</v>
      </c>
      <c r="E30" s="237" t="s">
        <v>575</v>
      </c>
      <c r="F30" s="157"/>
      <c r="G30" s="157">
        <v>45974.0</v>
      </c>
      <c r="H30" s="105"/>
      <c r="I30" s="200" t="s">
        <v>22</v>
      </c>
      <c r="J30" s="237"/>
      <c r="K30" s="233"/>
    </row>
    <row r="31" ht="17.25" customHeight="1">
      <c r="A31" s="59" t="s">
        <v>411</v>
      </c>
      <c r="B31" s="192"/>
      <c r="C31" s="192" t="s">
        <v>433</v>
      </c>
      <c r="D31" s="192" t="s">
        <v>434</v>
      </c>
      <c r="E31" s="192" t="s">
        <v>178</v>
      </c>
      <c r="F31" s="164"/>
      <c r="G31" s="164">
        <v>45976.0</v>
      </c>
      <c r="H31" s="101"/>
      <c r="I31" s="163" t="s">
        <v>22</v>
      </c>
      <c r="J31" s="192"/>
      <c r="K31" s="233"/>
      <c r="X31" s="128"/>
      <c r="Y31" s="128"/>
      <c r="Z31" s="128"/>
      <c r="AA31" s="128"/>
      <c r="AB31" s="128"/>
      <c r="AC31" s="128"/>
      <c r="AD31" s="128"/>
    </row>
    <row r="32" ht="17.25" customHeight="1">
      <c r="A32" s="86" t="s">
        <v>326</v>
      </c>
      <c r="B32" s="86"/>
      <c r="C32" s="86" t="s">
        <v>437</v>
      </c>
      <c r="D32" s="229" t="s">
        <v>438</v>
      </c>
      <c r="E32" s="86" t="s">
        <v>439</v>
      </c>
      <c r="F32" s="307"/>
      <c r="G32" s="307">
        <v>45988.0</v>
      </c>
      <c r="H32" s="308"/>
      <c r="I32" s="86" t="s">
        <v>22</v>
      </c>
      <c r="J32" s="86"/>
      <c r="K32" s="233"/>
      <c r="X32" s="211"/>
      <c r="Y32" s="211"/>
      <c r="Z32" s="211"/>
      <c r="AA32" s="211"/>
      <c r="AB32" s="211"/>
      <c r="AC32" s="211"/>
      <c r="AD32" s="211"/>
    </row>
    <row r="33" ht="17.25" customHeight="1">
      <c r="A33" s="86" t="s">
        <v>411</v>
      </c>
      <c r="B33" s="128"/>
      <c r="C33" s="109" t="s">
        <v>444</v>
      </c>
      <c r="D33" s="310">
        <v>45988.0</v>
      </c>
      <c r="E33" s="109" t="s">
        <v>445</v>
      </c>
      <c r="F33" s="312"/>
      <c r="G33" s="312">
        <v>45989.0</v>
      </c>
      <c r="H33" s="127"/>
      <c r="I33" s="109" t="s">
        <v>22</v>
      </c>
      <c r="J33" s="109"/>
      <c r="X33" s="128"/>
      <c r="Y33" s="128"/>
      <c r="Z33" s="128"/>
      <c r="AA33" s="128"/>
      <c r="AB33" s="128"/>
      <c r="AC33" s="128"/>
      <c r="AD33" s="128"/>
    </row>
    <row r="34" ht="17.25" customHeight="1">
      <c r="A34" s="86" t="s">
        <v>326</v>
      </c>
      <c r="B34" s="86"/>
      <c r="C34" s="86" t="s">
        <v>253</v>
      </c>
      <c r="D34" s="86" t="s">
        <v>453</v>
      </c>
      <c r="E34" s="86" t="s">
        <v>239</v>
      </c>
      <c r="F34" s="314"/>
      <c r="G34" s="314"/>
      <c r="H34" s="315"/>
      <c r="J34" s="86"/>
      <c r="X34" s="211"/>
      <c r="Y34" s="211"/>
      <c r="Z34" s="211"/>
      <c r="AA34" s="211"/>
      <c r="AB34" s="211"/>
      <c r="AC34" s="211"/>
      <c r="AD34" s="211"/>
    </row>
    <row r="35" ht="17.25" customHeight="1">
      <c r="B35" s="109"/>
      <c r="C35" s="109"/>
      <c r="D35" s="109"/>
      <c r="E35" s="109"/>
      <c r="F35" s="316"/>
      <c r="G35" s="316"/>
      <c r="H35" s="317"/>
      <c r="I35" s="128"/>
      <c r="J35" s="109"/>
      <c r="X35" s="211"/>
      <c r="Y35" s="211"/>
      <c r="Z35" s="211"/>
      <c r="AA35" s="211"/>
      <c r="AB35" s="211"/>
      <c r="AC35" s="211"/>
      <c r="AD35" s="211"/>
    </row>
    <row r="36" ht="17.25" customHeight="1">
      <c r="A36" s="232" t="s">
        <v>411</v>
      </c>
      <c r="B36" s="318" t="s">
        <v>587</v>
      </c>
      <c r="C36" s="232" t="s">
        <v>588</v>
      </c>
      <c r="D36" s="232" t="s">
        <v>589</v>
      </c>
      <c r="E36" s="232" t="s">
        <v>178</v>
      </c>
      <c r="F36" s="319"/>
      <c r="G36" s="319">
        <v>46000.0</v>
      </c>
      <c r="H36" s="320"/>
      <c r="I36" s="232" t="s">
        <v>22</v>
      </c>
      <c r="J36" s="232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</row>
    <row r="37" ht="17.25" customHeight="1">
      <c r="A37" s="59" t="s">
        <v>326</v>
      </c>
      <c r="B37" s="192"/>
      <c r="C37" s="192" t="s">
        <v>471</v>
      </c>
      <c r="D37" s="192" t="s">
        <v>472</v>
      </c>
      <c r="E37" s="192" t="s">
        <v>473</v>
      </c>
      <c r="F37" s="164"/>
      <c r="G37" s="164">
        <v>46013.0</v>
      </c>
      <c r="H37" s="101"/>
      <c r="I37" s="163" t="s">
        <v>22</v>
      </c>
      <c r="J37" s="192"/>
      <c r="K37" s="233"/>
    </row>
    <row r="38" ht="17.25" customHeight="1">
      <c r="A38" s="59" t="s">
        <v>326</v>
      </c>
      <c r="B38" s="237"/>
      <c r="C38" s="237" t="s">
        <v>597</v>
      </c>
      <c r="D38" s="237" t="s">
        <v>598</v>
      </c>
      <c r="E38" s="237" t="s">
        <v>145</v>
      </c>
      <c r="F38" s="157"/>
      <c r="G38" s="157">
        <v>46015.0</v>
      </c>
      <c r="H38" s="105"/>
      <c r="I38" s="237" t="s">
        <v>22</v>
      </c>
      <c r="J38" s="237"/>
      <c r="K38" s="233"/>
    </row>
    <row r="39" ht="17.25" customHeight="1">
      <c r="A39" s="59" t="s">
        <v>326</v>
      </c>
      <c r="B39" s="192"/>
      <c r="C39" s="192" t="s">
        <v>475</v>
      </c>
      <c r="D39" s="192" t="s">
        <v>476</v>
      </c>
      <c r="E39" s="192" t="s">
        <v>178</v>
      </c>
      <c r="F39" s="164"/>
      <c r="G39" s="164">
        <v>46022.0</v>
      </c>
      <c r="H39" s="101"/>
      <c r="I39" s="163" t="s">
        <v>22</v>
      </c>
      <c r="J39" s="192"/>
      <c r="K39" s="233"/>
    </row>
    <row r="40" ht="17.25" customHeight="1">
      <c r="A40" s="86"/>
      <c r="H40" s="133"/>
      <c r="X40" s="211"/>
      <c r="Y40" s="211"/>
      <c r="Z40" s="211"/>
      <c r="AA40" s="211"/>
      <c r="AB40" s="211"/>
      <c r="AC40" s="211"/>
      <c r="AD40" s="211"/>
    </row>
    <row r="41" ht="17.25" customHeight="1">
      <c r="A41" s="86" t="s">
        <v>411</v>
      </c>
      <c r="B41" s="323" t="s">
        <v>496</v>
      </c>
      <c r="C41" s="109" t="s">
        <v>605</v>
      </c>
      <c r="D41" s="109" t="s">
        <v>606</v>
      </c>
      <c r="E41" s="109" t="s">
        <v>145</v>
      </c>
      <c r="F41" s="325">
        <v>46034.0</v>
      </c>
      <c r="G41" s="325">
        <v>46035.0</v>
      </c>
      <c r="H41" s="175">
        <f t="shared" ref="H41:H46" si="1">G41-F41+1</f>
        <v>2</v>
      </c>
      <c r="I41" s="109" t="s">
        <v>22</v>
      </c>
      <c r="J41" s="109"/>
      <c r="X41" s="211"/>
      <c r="Y41" s="211"/>
      <c r="Z41" s="211"/>
      <c r="AA41" s="211"/>
      <c r="AB41" s="211"/>
      <c r="AC41" s="211"/>
      <c r="AD41" s="211"/>
    </row>
    <row r="42" ht="17.25" customHeight="1">
      <c r="A42" s="86"/>
      <c r="B42" s="330"/>
      <c r="C42" s="86" t="s">
        <v>609</v>
      </c>
      <c r="D42" s="86"/>
      <c r="E42" s="86"/>
      <c r="F42" s="331">
        <v>46045.0</v>
      </c>
      <c r="G42" s="331">
        <v>46049.0</v>
      </c>
      <c r="H42" s="332">
        <f t="shared" si="1"/>
        <v>5</v>
      </c>
      <c r="I42" s="86" t="s">
        <v>22</v>
      </c>
      <c r="J42" s="86"/>
    </row>
    <row r="43" ht="17.25" customHeight="1">
      <c r="A43" s="86" t="s">
        <v>326</v>
      </c>
      <c r="B43" s="323"/>
      <c r="C43" s="109" t="s">
        <v>612</v>
      </c>
      <c r="D43" s="109" t="s">
        <v>614</v>
      </c>
      <c r="E43" s="109" t="s">
        <v>615</v>
      </c>
      <c r="F43" s="325">
        <v>46037.0</v>
      </c>
      <c r="G43" s="325">
        <v>46037.0</v>
      </c>
      <c r="H43" s="175">
        <f t="shared" si="1"/>
        <v>1</v>
      </c>
      <c r="I43" s="109" t="s">
        <v>22</v>
      </c>
      <c r="J43" s="109"/>
      <c r="X43" s="211"/>
      <c r="Y43" s="211"/>
      <c r="Z43" s="211"/>
      <c r="AA43" s="211"/>
      <c r="AB43" s="211"/>
      <c r="AC43" s="211"/>
      <c r="AD43" s="211"/>
    </row>
    <row r="44" ht="17.25" customHeight="1">
      <c r="A44" s="86" t="s">
        <v>411</v>
      </c>
      <c r="B44" s="288"/>
      <c r="C44" s="75" t="s">
        <v>617</v>
      </c>
      <c r="D44" s="288" t="s">
        <v>481</v>
      </c>
      <c r="E44" s="288" t="s">
        <v>178</v>
      </c>
      <c r="F44" s="336">
        <v>46042.0</v>
      </c>
      <c r="G44" s="336">
        <v>46042.0</v>
      </c>
      <c r="H44" s="292">
        <f t="shared" si="1"/>
        <v>1</v>
      </c>
      <c r="I44" s="288" t="s">
        <v>22</v>
      </c>
      <c r="J44" s="288"/>
    </row>
    <row r="45" ht="17.25" customHeight="1">
      <c r="A45" s="86" t="s">
        <v>326</v>
      </c>
      <c r="B45" s="128"/>
      <c r="C45" s="109" t="s">
        <v>620</v>
      </c>
      <c r="D45" s="109" t="s">
        <v>621</v>
      </c>
      <c r="E45" s="109" t="s">
        <v>623</v>
      </c>
      <c r="F45" s="325">
        <v>46042.0</v>
      </c>
      <c r="G45" s="325">
        <v>46044.0</v>
      </c>
      <c r="H45" s="296">
        <f t="shared" si="1"/>
        <v>3</v>
      </c>
      <c r="I45" s="109" t="s">
        <v>22</v>
      </c>
      <c r="J45" s="109"/>
      <c r="X45" s="211"/>
      <c r="Y45" s="211"/>
      <c r="Z45" s="211"/>
      <c r="AA45" s="211"/>
      <c r="AB45" s="211"/>
      <c r="AC45" s="211"/>
      <c r="AD45" s="211"/>
    </row>
    <row r="46" ht="17.25" customHeight="1">
      <c r="A46" s="86" t="s">
        <v>326</v>
      </c>
      <c r="C46" s="86" t="s">
        <v>625</v>
      </c>
      <c r="E46" s="86" t="s">
        <v>195</v>
      </c>
      <c r="F46" s="331">
        <v>46050.0</v>
      </c>
      <c r="G46" s="331">
        <v>46052.0</v>
      </c>
      <c r="H46" s="292">
        <f t="shared" si="1"/>
        <v>3</v>
      </c>
      <c r="I46" s="86" t="s">
        <v>22</v>
      </c>
      <c r="J46" s="86"/>
    </row>
    <row r="47" ht="17.25" customHeight="1">
      <c r="A47" s="86"/>
      <c r="B47" s="128"/>
      <c r="C47" s="109"/>
      <c r="D47" s="128"/>
      <c r="E47" s="128"/>
      <c r="F47" s="325"/>
      <c r="G47" s="325"/>
      <c r="H47" s="296"/>
      <c r="I47" s="109"/>
      <c r="J47" s="128"/>
    </row>
    <row r="48" ht="17.25" customHeight="1">
      <c r="A48" s="86" t="s">
        <v>411</v>
      </c>
      <c r="B48" s="330" t="s">
        <v>524</v>
      </c>
      <c r="C48" s="86" t="s">
        <v>629</v>
      </c>
      <c r="D48" s="86" t="s">
        <v>481</v>
      </c>
      <c r="E48" s="86" t="s">
        <v>178</v>
      </c>
      <c r="F48" s="331">
        <v>46057.0</v>
      </c>
      <c r="G48" s="331">
        <v>46057.0</v>
      </c>
      <c r="H48" s="292">
        <f t="shared" ref="H48:H50" si="2">G48-F48+1</f>
        <v>1</v>
      </c>
      <c r="I48" s="86" t="s">
        <v>22</v>
      </c>
      <c r="J48" s="86"/>
    </row>
    <row r="49" ht="17.25" customHeight="1">
      <c r="A49" s="86" t="s">
        <v>326</v>
      </c>
      <c r="B49" s="128"/>
      <c r="C49" s="109" t="s">
        <v>634</v>
      </c>
      <c r="D49" s="109" t="s">
        <v>635</v>
      </c>
      <c r="E49" s="109" t="s">
        <v>177</v>
      </c>
      <c r="F49" s="325">
        <v>46062.0</v>
      </c>
      <c r="G49" s="325">
        <v>46064.0</v>
      </c>
      <c r="H49" s="296">
        <f t="shared" si="2"/>
        <v>3</v>
      </c>
      <c r="I49" s="109" t="s">
        <v>22</v>
      </c>
      <c r="J49" s="109"/>
      <c r="X49" s="211"/>
      <c r="Y49" s="211"/>
      <c r="Z49" s="211"/>
      <c r="AA49" s="211"/>
      <c r="AB49" s="211"/>
      <c r="AC49" s="211"/>
      <c r="AD49" s="211"/>
    </row>
    <row r="50" ht="17.25" customHeight="1">
      <c r="A50" s="86" t="s">
        <v>326</v>
      </c>
      <c r="C50" s="86" t="s">
        <v>488</v>
      </c>
      <c r="D50" s="86" t="s">
        <v>489</v>
      </c>
      <c r="E50" s="86" t="s">
        <v>490</v>
      </c>
      <c r="F50" s="331">
        <v>46072.0</v>
      </c>
      <c r="G50" s="331">
        <v>46073.0</v>
      </c>
      <c r="H50" s="292">
        <f t="shared" si="2"/>
        <v>2</v>
      </c>
      <c r="I50" s="86" t="s">
        <v>22</v>
      </c>
      <c r="J50" s="86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</row>
    <row r="51" ht="17.25" customHeight="1">
      <c r="B51" s="86"/>
      <c r="C51" s="86"/>
      <c r="F51" s="331"/>
      <c r="G51" s="331"/>
      <c r="H51" s="133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</row>
    <row r="52" ht="17.25" customHeight="1">
      <c r="A52" s="86" t="s">
        <v>643</v>
      </c>
      <c r="B52" s="323" t="s">
        <v>532</v>
      </c>
      <c r="C52" s="109" t="s">
        <v>492</v>
      </c>
      <c r="D52" s="109" t="s">
        <v>494</v>
      </c>
      <c r="E52" s="109" t="s">
        <v>473</v>
      </c>
      <c r="F52" s="325">
        <v>46084.0</v>
      </c>
      <c r="G52" s="325">
        <v>46090.0</v>
      </c>
      <c r="H52" s="175">
        <v>5.0</v>
      </c>
      <c r="I52" s="109" t="s">
        <v>22</v>
      </c>
      <c r="J52" s="109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</row>
    <row r="53" ht="17.25" customHeight="1">
      <c r="A53" s="86" t="s">
        <v>326</v>
      </c>
      <c r="C53" s="86" t="s">
        <v>502</v>
      </c>
      <c r="D53" s="86" t="s">
        <v>503</v>
      </c>
      <c r="E53" s="86" t="s">
        <v>504</v>
      </c>
      <c r="F53" s="331">
        <v>46085.0</v>
      </c>
      <c r="G53" s="331">
        <v>46087.0</v>
      </c>
      <c r="H53" s="332">
        <v>3.0</v>
      </c>
      <c r="I53" s="86" t="s">
        <v>22</v>
      </c>
      <c r="J53" s="86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</row>
    <row r="54" ht="17.25" customHeight="1">
      <c r="A54" s="86" t="s">
        <v>326</v>
      </c>
      <c r="B54" s="128"/>
      <c r="C54" s="109" t="s">
        <v>508</v>
      </c>
      <c r="D54" s="109" t="s">
        <v>510</v>
      </c>
      <c r="E54" s="109" t="s">
        <v>512</v>
      </c>
      <c r="F54" s="325">
        <v>46093.0</v>
      </c>
      <c r="G54" s="325">
        <v>46094.0</v>
      </c>
      <c r="H54" s="175">
        <v>2.0</v>
      </c>
      <c r="I54" s="109" t="s">
        <v>22</v>
      </c>
      <c r="J54" s="109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</row>
    <row r="55" ht="17.25" customHeight="1">
      <c r="A55" s="86" t="s">
        <v>411</v>
      </c>
      <c r="C55" s="86" t="s">
        <v>517</v>
      </c>
      <c r="D55" s="86" t="s">
        <v>518</v>
      </c>
      <c r="E55" s="86" t="s">
        <v>178</v>
      </c>
      <c r="F55" s="331">
        <v>46097.0</v>
      </c>
      <c r="G55" s="331">
        <v>46097.0</v>
      </c>
      <c r="H55" s="332">
        <v>1.0</v>
      </c>
      <c r="I55" s="86" t="s">
        <v>22</v>
      </c>
      <c r="J55" s="86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</row>
    <row r="56" ht="17.25" customHeight="1">
      <c r="A56" s="86" t="s">
        <v>326</v>
      </c>
      <c r="B56" s="128"/>
      <c r="C56" s="109" t="s">
        <v>520</v>
      </c>
      <c r="D56" s="109" t="s">
        <v>521</v>
      </c>
      <c r="E56" s="109" t="s">
        <v>522</v>
      </c>
      <c r="F56" s="325">
        <v>46098.0</v>
      </c>
      <c r="G56" s="325">
        <v>46099.0</v>
      </c>
      <c r="H56" s="175">
        <v>2.0</v>
      </c>
      <c r="I56" s="109" t="s">
        <v>22</v>
      </c>
      <c r="J56" s="109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</row>
    <row r="57" ht="17.25" customHeight="1">
      <c r="A57" s="86" t="s">
        <v>326</v>
      </c>
      <c r="C57" s="86" t="s">
        <v>529</v>
      </c>
      <c r="D57" s="86" t="s">
        <v>530</v>
      </c>
      <c r="E57" s="86" t="s">
        <v>522</v>
      </c>
      <c r="F57" s="331">
        <v>46098.0</v>
      </c>
      <c r="G57" s="331">
        <v>46099.0</v>
      </c>
      <c r="H57" s="332">
        <v>2.0</v>
      </c>
      <c r="I57" s="86" t="s">
        <v>22</v>
      </c>
      <c r="J57" s="86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</row>
    <row r="58" ht="17.25" customHeight="1">
      <c r="A58" s="86" t="s">
        <v>326</v>
      </c>
      <c r="B58" s="128"/>
      <c r="C58" s="109" t="s">
        <v>659</v>
      </c>
      <c r="D58" s="109" t="s">
        <v>538</v>
      </c>
      <c r="E58" s="109" t="s">
        <v>504</v>
      </c>
      <c r="F58" s="325">
        <v>46099.0</v>
      </c>
      <c r="G58" s="325">
        <v>46100.0</v>
      </c>
      <c r="H58" s="175">
        <v>2.0</v>
      </c>
      <c r="I58" s="109" t="s">
        <v>22</v>
      </c>
      <c r="J58" s="109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</row>
    <row r="59" ht="17.25" customHeight="1">
      <c r="B59" s="86"/>
      <c r="F59" s="331"/>
      <c r="G59" s="331"/>
      <c r="H59" s="133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</row>
    <row r="60" ht="17.25" customHeight="1">
      <c r="A60" s="86" t="s">
        <v>326</v>
      </c>
      <c r="B60" s="360">
        <v>46113.0</v>
      </c>
      <c r="C60" s="109" t="s">
        <v>664</v>
      </c>
      <c r="D60" s="109" t="s">
        <v>503</v>
      </c>
      <c r="E60" s="109" t="s">
        <v>504</v>
      </c>
      <c r="F60" s="325">
        <v>46113.0</v>
      </c>
      <c r="G60" s="325">
        <v>46114.0</v>
      </c>
      <c r="H60" s="175">
        <v>2.0</v>
      </c>
      <c r="I60" s="109" t="s">
        <v>22</v>
      </c>
      <c r="J60" s="109" t="s">
        <v>126</v>
      </c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</row>
    <row r="61" ht="17.25" customHeight="1">
      <c r="A61" s="86" t="s">
        <v>326</v>
      </c>
      <c r="C61" s="86" t="s">
        <v>540</v>
      </c>
      <c r="D61" s="86" t="s">
        <v>247</v>
      </c>
      <c r="E61" s="86" t="s">
        <v>239</v>
      </c>
      <c r="F61" s="331">
        <v>46114.0</v>
      </c>
      <c r="G61" s="363">
        <v>46118.0</v>
      </c>
      <c r="H61" s="332">
        <v>3.0</v>
      </c>
      <c r="I61" s="86" t="s">
        <v>22</v>
      </c>
      <c r="J61" s="86" t="s">
        <v>667</v>
      </c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</row>
    <row r="62" ht="17.25" customHeight="1">
      <c r="A62" s="86" t="s">
        <v>411</v>
      </c>
      <c r="B62" s="128"/>
      <c r="C62" s="109" t="s">
        <v>668</v>
      </c>
      <c r="D62" s="109" t="s">
        <v>545</v>
      </c>
      <c r="E62" s="109" t="s">
        <v>178</v>
      </c>
      <c r="F62" s="325">
        <v>46120.0</v>
      </c>
      <c r="G62" s="312">
        <v>46120.0</v>
      </c>
      <c r="H62" s="175">
        <v>1.0</v>
      </c>
      <c r="I62" s="109" t="s">
        <v>22</v>
      </c>
      <c r="J62" s="109" t="s">
        <v>126</v>
      </c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</row>
    <row r="63" ht="17.25" customHeight="1">
      <c r="A63" s="86" t="s">
        <v>326</v>
      </c>
      <c r="C63" s="86" t="s">
        <v>258</v>
      </c>
      <c r="E63" s="86" t="s">
        <v>145</v>
      </c>
      <c r="F63" s="363">
        <v>46127.0</v>
      </c>
      <c r="G63" s="363">
        <v>46133.0</v>
      </c>
      <c r="H63" s="332">
        <v>5.0</v>
      </c>
      <c r="I63" s="86" t="s">
        <v>22</v>
      </c>
      <c r="J63" s="86" t="s">
        <v>672</v>
      </c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</row>
    <row r="64" ht="17.25" customHeight="1">
      <c r="A64" s="86" t="s">
        <v>326</v>
      </c>
      <c r="B64" s="128"/>
      <c r="C64" s="109" t="s">
        <v>554</v>
      </c>
      <c r="D64" s="109" t="s">
        <v>247</v>
      </c>
      <c r="E64" s="109" t="s">
        <v>239</v>
      </c>
      <c r="F64" s="312">
        <v>46135.0</v>
      </c>
      <c r="G64" s="312">
        <v>46136.0</v>
      </c>
      <c r="H64" s="175">
        <v>2.0</v>
      </c>
      <c r="I64" s="109" t="s">
        <v>22</v>
      </c>
      <c r="J64" s="109" t="s">
        <v>667</v>
      </c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</row>
    <row r="65" ht="17.25" customHeight="1">
      <c r="A65" s="86"/>
      <c r="B65" s="128"/>
      <c r="C65" s="109"/>
      <c r="D65" s="109"/>
      <c r="E65" s="109"/>
      <c r="F65" s="312"/>
      <c r="G65" s="312"/>
      <c r="H65" s="175"/>
      <c r="I65" s="109"/>
      <c r="J65" s="109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</row>
    <row r="66" ht="17.25" customHeight="1">
      <c r="A66" s="86"/>
      <c r="B66" s="330" t="s">
        <v>677</v>
      </c>
      <c r="C66" s="243" t="s">
        <v>562</v>
      </c>
      <c r="D66" s="243" t="s">
        <v>563</v>
      </c>
      <c r="E66" s="243" t="s">
        <v>473</v>
      </c>
      <c r="F66" s="367">
        <v>46146.0</v>
      </c>
      <c r="G66" s="367">
        <v>46147.0</v>
      </c>
      <c r="H66" s="296">
        <v>2.0</v>
      </c>
      <c r="I66" s="243" t="s">
        <v>22</v>
      </c>
      <c r="J66" s="243" t="s">
        <v>553</v>
      </c>
    </row>
    <row r="67" ht="17.25" customHeight="1">
      <c r="A67" s="86" t="s">
        <v>326</v>
      </c>
      <c r="B67" s="128"/>
      <c r="C67" s="75" t="s">
        <v>580</v>
      </c>
      <c r="D67" s="75" t="s">
        <v>581</v>
      </c>
      <c r="E67" s="75" t="s">
        <v>582</v>
      </c>
      <c r="F67" s="368">
        <v>46150.0</v>
      </c>
      <c r="G67" s="368">
        <v>46153.0</v>
      </c>
      <c r="H67" s="277">
        <v>4.0</v>
      </c>
      <c r="I67" s="75" t="s">
        <v>22</v>
      </c>
      <c r="J67" s="288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</row>
    <row r="68" ht="17.25" customHeight="1">
      <c r="H68" s="133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</row>
    <row r="69" ht="17.25" customHeight="1">
      <c r="H69" s="133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</row>
    <row r="70" ht="17.25" customHeight="1">
      <c r="H70" s="133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</row>
    <row r="71" ht="17.25" customHeight="1">
      <c r="H71" s="133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</row>
    <row r="72" ht="17.25" customHeight="1">
      <c r="H72" s="133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</row>
    <row r="73" ht="17.25" customHeight="1">
      <c r="H73" s="133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</row>
    <row r="74" ht="17.25" customHeight="1">
      <c r="H74" s="133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</row>
    <row r="75" ht="17.25" customHeight="1">
      <c r="H75" s="133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</row>
    <row r="76" ht="17.25" customHeight="1">
      <c r="H76" s="133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</row>
    <row r="77" ht="17.25" customHeight="1">
      <c r="H77" s="133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</row>
    <row r="78" ht="17.25" customHeight="1">
      <c r="H78" s="133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</row>
    <row r="79" ht="17.25" customHeight="1">
      <c r="H79" s="133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</row>
    <row r="80" ht="17.25" customHeight="1">
      <c r="H80" s="133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</row>
    <row r="81" ht="17.25" customHeight="1">
      <c r="H81" s="133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</row>
    <row r="82" ht="17.25" customHeight="1">
      <c r="H82" s="133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</row>
    <row r="83" ht="17.25" customHeight="1">
      <c r="H83" s="133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</row>
    <row r="84" ht="17.25" customHeight="1">
      <c r="H84" s="133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</row>
    <row r="85" ht="17.25" customHeight="1">
      <c r="H85" s="133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</row>
    <row r="86" ht="17.25" customHeight="1">
      <c r="H86" s="133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</row>
    <row r="87" ht="17.25" customHeight="1">
      <c r="H87" s="133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</row>
    <row r="88" ht="17.25" customHeight="1">
      <c r="H88" s="133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</row>
    <row r="89" ht="17.25" customHeight="1">
      <c r="H89" s="133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</row>
    <row r="90" ht="17.25" customHeight="1">
      <c r="H90" s="133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</row>
    <row r="91" ht="17.25" customHeight="1">
      <c r="H91" s="133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</row>
    <row r="92" ht="17.25" customHeight="1">
      <c r="H92" s="133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</row>
    <row r="93" ht="17.25" customHeight="1">
      <c r="H93" s="133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</row>
    <row r="94" ht="17.25" customHeight="1">
      <c r="H94" s="133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</row>
    <row r="95" ht="17.25" customHeight="1">
      <c r="H95" s="133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</row>
    <row r="96" ht="17.25" customHeight="1">
      <c r="H96" s="133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</row>
    <row r="97" ht="17.25" customHeight="1">
      <c r="H97" s="133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</row>
    <row r="98" ht="17.25" customHeight="1">
      <c r="H98" s="133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</row>
    <row r="99" ht="17.25" customHeight="1">
      <c r="H99" s="133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</row>
    <row r="100" ht="17.25" customHeight="1">
      <c r="H100" s="133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</row>
    <row r="101" ht="17.25" customHeight="1">
      <c r="H101" s="133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</row>
    <row r="102" ht="17.25" customHeight="1">
      <c r="H102" s="133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</row>
    <row r="103" ht="17.25" customHeight="1">
      <c r="H103" s="133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</row>
    <row r="104" ht="17.25" customHeight="1">
      <c r="H104" s="133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</row>
    <row r="105" ht="17.25" customHeight="1">
      <c r="H105" s="133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</row>
    <row r="106" ht="17.25" customHeight="1">
      <c r="H106" s="133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</row>
    <row r="107" ht="17.25" customHeight="1">
      <c r="H107" s="133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</row>
    <row r="108" ht="17.25" customHeight="1">
      <c r="H108" s="133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</row>
    <row r="109" ht="17.25" customHeight="1">
      <c r="H109" s="133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</row>
    <row r="110" ht="17.25" customHeight="1">
      <c r="H110" s="133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</row>
    <row r="111" ht="17.25" customHeight="1">
      <c r="H111" s="133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</row>
    <row r="112" ht="17.25" customHeight="1">
      <c r="H112" s="133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</row>
    <row r="113" ht="17.25" customHeight="1">
      <c r="H113" s="133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</row>
    <row r="114" ht="17.25" customHeight="1">
      <c r="H114" s="133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</row>
    <row r="115" ht="17.25" customHeight="1">
      <c r="H115" s="133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</row>
    <row r="116" ht="17.25" customHeight="1">
      <c r="H116" s="133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</row>
    <row r="117" ht="17.25" customHeight="1">
      <c r="H117" s="133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</row>
    <row r="118" ht="17.25" customHeight="1">
      <c r="H118" s="133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</row>
    <row r="119" ht="17.25" customHeight="1">
      <c r="H119" s="133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</row>
    <row r="120" ht="17.25" customHeight="1">
      <c r="H120" s="133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</row>
    <row r="121" ht="17.25" customHeight="1">
      <c r="H121" s="133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</row>
    <row r="122" ht="17.25" customHeight="1">
      <c r="H122" s="133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</row>
    <row r="123" ht="17.25" customHeight="1">
      <c r="H123" s="133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</row>
    <row r="124" ht="17.25" customHeight="1">
      <c r="H124" s="133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</row>
    <row r="125" ht="17.25" customHeight="1">
      <c r="H125" s="133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</row>
    <row r="126" ht="17.25" customHeight="1">
      <c r="H126" s="133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</row>
    <row r="127" ht="17.25" customHeight="1">
      <c r="H127" s="133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</row>
    <row r="128" ht="17.25" customHeight="1">
      <c r="H128" s="133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</row>
    <row r="129" ht="17.25" customHeight="1">
      <c r="H129" s="133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</row>
    <row r="130" ht="17.25" customHeight="1">
      <c r="H130" s="133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</row>
    <row r="131" ht="17.25" customHeight="1">
      <c r="H131" s="133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</row>
    <row r="132" ht="17.25" customHeight="1">
      <c r="H132" s="133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</row>
    <row r="133" ht="17.25" customHeight="1">
      <c r="H133" s="133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</row>
    <row r="134" ht="17.25" customHeight="1">
      <c r="H134" s="133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</row>
    <row r="135" ht="17.25" customHeight="1">
      <c r="H135" s="133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</row>
    <row r="136" ht="17.25" customHeight="1">
      <c r="H136" s="133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</row>
    <row r="137" ht="17.25" customHeight="1">
      <c r="H137" s="133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</row>
    <row r="138" ht="17.25" customHeight="1">
      <c r="H138" s="133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</row>
    <row r="139" ht="17.25" customHeight="1">
      <c r="H139" s="133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</row>
    <row r="140" ht="17.25" customHeight="1">
      <c r="H140" s="133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</row>
    <row r="141" ht="17.25" customHeight="1">
      <c r="H141" s="133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</row>
    <row r="142" ht="17.25" customHeight="1">
      <c r="H142" s="133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</row>
    <row r="143" ht="17.25" customHeight="1">
      <c r="H143" s="133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</row>
    <row r="144" ht="17.25" customHeight="1">
      <c r="H144" s="133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</row>
    <row r="145" ht="17.25" customHeight="1">
      <c r="H145" s="133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</row>
    <row r="146" ht="17.25" customHeight="1">
      <c r="H146" s="133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</row>
    <row r="147" ht="17.25" customHeight="1">
      <c r="H147" s="133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</row>
    <row r="148" ht="17.25" customHeight="1">
      <c r="H148" s="133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</row>
    <row r="149" ht="17.25" customHeight="1">
      <c r="H149" s="133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</row>
    <row r="150" ht="17.25" customHeight="1">
      <c r="H150" s="133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</row>
    <row r="151" ht="17.25" customHeight="1">
      <c r="H151" s="133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</row>
    <row r="152" ht="17.25" customHeight="1">
      <c r="H152" s="133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1"/>
    </row>
    <row r="153" ht="17.25" customHeight="1">
      <c r="H153" s="133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1"/>
    </row>
    <row r="154" ht="17.25" customHeight="1">
      <c r="H154" s="133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</row>
    <row r="155" ht="17.25" customHeight="1">
      <c r="H155" s="133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</row>
    <row r="156" ht="17.25" customHeight="1">
      <c r="H156" s="133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</row>
    <row r="157" ht="17.25" customHeight="1">
      <c r="H157" s="133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</row>
    <row r="158" ht="17.25" customHeight="1">
      <c r="H158" s="133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</row>
    <row r="159" ht="17.25" customHeight="1">
      <c r="H159" s="133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</row>
    <row r="160" ht="17.25" customHeight="1">
      <c r="H160" s="133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</row>
    <row r="161" ht="17.25" customHeight="1">
      <c r="H161" s="133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</row>
    <row r="162" ht="17.25" customHeight="1">
      <c r="H162" s="133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</row>
    <row r="163" ht="17.25" customHeight="1">
      <c r="H163" s="133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</row>
    <row r="164" ht="17.25" customHeight="1">
      <c r="H164" s="133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1"/>
    </row>
    <row r="165" ht="17.25" customHeight="1">
      <c r="H165" s="133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1"/>
    </row>
    <row r="166" ht="17.25" customHeight="1">
      <c r="H166" s="133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1"/>
    </row>
    <row r="167" ht="17.25" customHeight="1">
      <c r="H167" s="133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</row>
    <row r="168" ht="17.25" customHeight="1">
      <c r="H168" s="133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</row>
    <row r="169" ht="17.25" customHeight="1">
      <c r="H169" s="133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</row>
    <row r="170" ht="17.25" customHeight="1">
      <c r="H170" s="133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</row>
    <row r="171" ht="17.25" customHeight="1">
      <c r="H171" s="133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</row>
    <row r="172" ht="17.25" customHeight="1">
      <c r="H172" s="133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</row>
    <row r="173" ht="17.25" customHeight="1">
      <c r="H173" s="133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</row>
    <row r="174" ht="17.25" customHeight="1">
      <c r="H174" s="133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</row>
    <row r="175" ht="17.25" customHeight="1">
      <c r="H175" s="133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</row>
    <row r="176" ht="17.25" customHeight="1">
      <c r="H176" s="133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</row>
    <row r="177" ht="17.25" customHeight="1">
      <c r="H177" s="133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</row>
    <row r="178" ht="17.25" customHeight="1">
      <c r="H178" s="133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</row>
    <row r="179" ht="17.25" customHeight="1">
      <c r="H179" s="133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</row>
    <row r="180" ht="17.25" customHeight="1">
      <c r="H180" s="133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</row>
    <row r="181" ht="17.25" customHeight="1">
      <c r="H181" s="133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</row>
    <row r="182" ht="17.25" customHeight="1">
      <c r="H182" s="133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</row>
    <row r="183" ht="17.25" customHeight="1">
      <c r="H183" s="133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</row>
    <row r="184" ht="17.25" customHeight="1">
      <c r="H184" s="133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</row>
    <row r="185" ht="17.25" customHeight="1">
      <c r="H185" s="133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</row>
    <row r="186" ht="17.25" customHeight="1">
      <c r="H186" s="133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  <c r="AD186" s="211"/>
    </row>
    <row r="187" ht="17.25" customHeight="1">
      <c r="H187" s="133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  <c r="AD187" s="211"/>
    </row>
    <row r="188" ht="17.25" customHeight="1">
      <c r="H188" s="133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1"/>
    </row>
    <row r="189" ht="17.25" customHeight="1">
      <c r="H189" s="133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  <c r="AD189" s="211"/>
    </row>
    <row r="190" ht="17.25" customHeight="1">
      <c r="H190" s="133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1"/>
    </row>
    <row r="191" ht="17.25" customHeight="1">
      <c r="H191" s="133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  <c r="AD191" s="211"/>
    </row>
    <row r="192" ht="17.25" customHeight="1">
      <c r="H192" s="133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  <c r="AD192" s="211"/>
    </row>
    <row r="193" ht="17.25" customHeight="1">
      <c r="H193" s="133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  <c r="AD193" s="211"/>
    </row>
    <row r="194" ht="17.25" customHeight="1">
      <c r="H194" s="133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1"/>
    </row>
    <row r="195" ht="17.25" customHeight="1">
      <c r="H195" s="133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</row>
    <row r="196" ht="17.25" customHeight="1">
      <c r="H196" s="133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</row>
    <row r="197" ht="17.25" customHeight="1">
      <c r="H197" s="133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</row>
    <row r="198" ht="17.25" customHeight="1">
      <c r="H198" s="133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</row>
    <row r="199" ht="17.25" customHeight="1">
      <c r="H199" s="133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1"/>
    </row>
    <row r="200" ht="17.25" customHeight="1">
      <c r="H200" s="133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</row>
    <row r="201" ht="17.25" customHeight="1">
      <c r="H201" s="133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</row>
    <row r="202" ht="17.25" customHeight="1">
      <c r="H202" s="133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</row>
    <row r="203" ht="17.25" customHeight="1">
      <c r="H203" s="133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</row>
    <row r="204" ht="17.25" customHeight="1">
      <c r="H204" s="133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1"/>
    </row>
    <row r="205" ht="17.25" customHeight="1">
      <c r="H205" s="133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1"/>
    </row>
    <row r="206" ht="17.25" customHeight="1">
      <c r="H206" s="133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1"/>
    </row>
    <row r="207" ht="17.25" customHeight="1">
      <c r="H207" s="133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  <c r="AD207" s="211"/>
    </row>
    <row r="208" ht="17.25" customHeight="1">
      <c r="H208" s="133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  <c r="AD208" s="211"/>
    </row>
    <row r="209" ht="17.25" customHeight="1">
      <c r="H209" s="133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  <c r="AD209" s="211"/>
    </row>
    <row r="210" ht="17.25" customHeight="1">
      <c r="H210" s="133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</row>
    <row r="211" ht="17.25" customHeight="1">
      <c r="H211" s="133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</row>
    <row r="212" ht="17.25" customHeight="1">
      <c r="H212" s="133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</row>
    <row r="213" ht="17.25" customHeight="1">
      <c r="H213" s="133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</row>
    <row r="214" ht="17.25" customHeight="1">
      <c r="H214" s="133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</row>
    <row r="215" ht="17.25" customHeight="1">
      <c r="H215" s="133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</row>
    <row r="216" ht="17.25" customHeight="1">
      <c r="H216" s="133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</row>
    <row r="217" ht="17.25" customHeight="1">
      <c r="H217" s="133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</row>
    <row r="218" ht="17.25" customHeight="1">
      <c r="H218" s="133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</row>
    <row r="219" ht="17.25" customHeight="1">
      <c r="H219" s="133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</row>
    <row r="220" ht="17.25" customHeight="1">
      <c r="H220" s="133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</row>
    <row r="221" ht="17.25" customHeight="1">
      <c r="H221" s="133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</row>
    <row r="222" ht="17.25" customHeight="1">
      <c r="H222" s="133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</row>
    <row r="223" ht="17.25" customHeight="1">
      <c r="H223" s="133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</row>
    <row r="224" ht="17.25" customHeight="1">
      <c r="H224" s="133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</row>
    <row r="225" ht="17.25" customHeight="1">
      <c r="H225" s="133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</row>
    <row r="226" ht="17.25" customHeight="1">
      <c r="H226" s="133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</row>
    <row r="227" ht="17.25" customHeight="1">
      <c r="H227" s="133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</row>
    <row r="228" ht="17.25" customHeight="1">
      <c r="H228" s="133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</row>
    <row r="229" ht="17.25" customHeight="1">
      <c r="H229" s="133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  <c r="AA229" s="211"/>
      <c r="AB229" s="211"/>
      <c r="AC229" s="211"/>
      <c r="AD229" s="211"/>
    </row>
    <row r="230" ht="17.25" customHeight="1">
      <c r="H230" s="133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  <c r="AD230" s="211"/>
    </row>
    <row r="231" ht="17.25" customHeight="1">
      <c r="H231" s="133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  <c r="AA231" s="211"/>
      <c r="AB231" s="211"/>
      <c r="AC231" s="211"/>
      <c r="AD231" s="211"/>
    </row>
    <row r="232" ht="17.25" customHeight="1">
      <c r="H232" s="133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  <c r="AA232" s="211"/>
      <c r="AB232" s="211"/>
      <c r="AC232" s="211"/>
      <c r="AD232" s="211"/>
    </row>
    <row r="233" ht="17.25" customHeight="1">
      <c r="H233" s="133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  <c r="AA233" s="211"/>
      <c r="AB233" s="211"/>
      <c r="AC233" s="211"/>
      <c r="AD233" s="211"/>
    </row>
    <row r="234" ht="17.25" customHeight="1">
      <c r="H234" s="133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  <c r="AA234" s="211"/>
      <c r="AB234" s="211"/>
      <c r="AC234" s="211"/>
      <c r="AD234" s="211"/>
    </row>
    <row r="235" ht="17.25" customHeight="1">
      <c r="H235" s="133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  <c r="AA235" s="211"/>
      <c r="AB235" s="211"/>
      <c r="AC235" s="211"/>
      <c r="AD235" s="211"/>
    </row>
    <row r="236" ht="17.25" customHeight="1">
      <c r="H236" s="133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  <c r="AA236" s="211"/>
      <c r="AB236" s="211"/>
      <c r="AC236" s="211"/>
      <c r="AD236" s="211"/>
    </row>
    <row r="237" ht="17.25" customHeight="1">
      <c r="H237" s="133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  <c r="AA237" s="211"/>
      <c r="AB237" s="211"/>
      <c r="AC237" s="211"/>
      <c r="AD237" s="211"/>
    </row>
    <row r="238" ht="17.25" customHeight="1">
      <c r="H238" s="133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  <c r="AA238" s="211"/>
      <c r="AB238" s="211"/>
      <c r="AC238" s="211"/>
      <c r="AD238" s="211"/>
    </row>
    <row r="239" ht="17.25" customHeight="1">
      <c r="H239" s="133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  <c r="AD239" s="211"/>
    </row>
    <row r="240" ht="17.25" customHeight="1">
      <c r="H240" s="133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  <c r="AA240" s="211"/>
      <c r="AB240" s="211"/>
      <c r="AC240" s="211"/>
      <c r="AD240" s="211"/>
    </row>
    <row r="241" ht="17.25" customHeight="1">
      <c r="H241" s="133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  <c r="AA241" s="211"/>
      <c r="AB241" s="211"/>
      <c r="AC241" s="211"/>
      <c r="AD241" s="211"/>
    </row>
    <row r="242" ht="17.25" customHeight="1">
      <c r="H242" s="133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A242" s="211"/>
      <c r="AB242" s="211"/>
      <c r="AC242" s="211"/>
      <c r="AD242" s="211"/>
    </row>
    <row r="243" ht="17.25" customHeight="1">
      <c r="H243" s="133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</row>
    <row r="244" ht="17.25" customHeight="1">
      <c r="H244" s="133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  <c r="AD244" s="211"/>
    </row>
    <row r="245" ht="17.25" customHeight="1">
      <c r="H245" s="133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A245" s="211"/>
      <c r="AB245" s="211"/>
      <c r="AC245" s="211"/>
      <c r="AD245" s="211"/>
    </row>
    <row r="246" ht="17.25" customHeight="1">
      <c r="H246" s="133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A246" s="211"/>
      <c r="AB246" s="211"/>
      <c r="AC246" s="211"/>
      <c r="AD246" s="211"/>
    </row>
    <row r="247" ht="17.25" customHeight="1">
      <c r="H247" s="133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A247" s="211"/>
      <c r="AB247" s="211"/>
      <c r="AC247" s="211"/>
      <c r="AD247" s="211"/>
    </row>
    <row r="248" ht="17.25" customHeight="1">
      <c r="H248" s="133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</row>
    <row r="249" ht="17.25" customHeight="1">
      <c r="H249" s="133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A249" s="211"/>
      <c r="AB249" s="211"/>
      <c r="AC249" s="211"/>
      <c r="AD249" s="211"/>
    </row>
    <row r="250" ht="17.25" customHeight="1">
      <c r="H250" s="133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A250" s="211"/>
      <c r="AB250" s="211"/>
      <c r="AC250" s="211"/>
      <c r="AD250" s="211"/>
    </row>
    <row r="251" ht="17.25" customHeight="1">
      <c r="H251" s="133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A251" s="211"/>
      <c r="AB251" s="211"/>
      <c r="AC251" s="211"/>
      <c r="AD251" s="211"/>
    </row>
    <row r="252" ht="17.25" customHeight="1">
      <c r="H252" s="133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A252" s="211"/>
      <c r="AB252" s="211"/>
      <c r="AC252" s="211"/>
      <c r="AD252" s="211"/>
    </row>
    <row r="253" ht="17.25" customHeight="1">
      <c r="H253" s="133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A253" s="211"/>
      <c r="AB253" s="211"/>
      <c r="AC253" s="211"/>
      <c r="AD253" s="211"/>
    </row>
    <row r="254" ht="17.25" customHeight="1">
      <c r="H254" s="133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A254" s="211"/>
      <c r="AB254" s="211"/>
      <c r="AC254" s="211"/>
      <c r="AD254" s="211"/>
    </row>
    <row r="255" ht="17.25" customHeight="1">
      <c r="H255" s="133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A255" s="211"/>
      <c r="AB255" s="211"/>
      <c r="AC255" s="211"/>
      <c r="AD255" s="211"/>
    </row>
    <row r="256" ht="17.25" customHeight="1">
      <c r="H256" s="133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A256" s="211"/>
      <c r="AB256" s="211"/>
      <c r="AC256" s="211"/>
      <c r="AD256" s="211"/>
    </row>
    <row r="257" ht="17.25" customHeight="1">
      <c r="H257" s="133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A257" s="211"/>
      <c r="AB257" s="211"/>
      <c r="AC257" s="211"/>
      <c r="AD257" s="211"/>
    </row>
    <row r="258" ht="17.25" customHeight="1">
      <c r="H258" s="133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</row>
    <row r="259" ht="17.25" customHeight="1">
      <c r="H259" s="133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A259" s="211"/>
      <c r="AB259" s="211"/>
      <c r="AC259" s="211"/>
      <c r="AD259" s="211"/>
    </row>
    <row r="260" ht="17.25" customHeight="1">
      <c r="H260" s="133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A260" s="211"/>
      <c r="AB260" s="211"/>
      <c r="AC260" s="211"/>
      <c r="AD260" s="211"/>
    </row>
    <row r="261" ht="17.25" customHeight="1">
      <c r="H261" s="133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A261" s="211"/>
      <c r="AB261" s="211"/>
      <c r="AC261" s="211"/>
      <c r="AD261" s="211"/>
    </row>
    <row r="262" ht="17.25" customHeight="1">
      <c r="H262" s="133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A262" s="211"/>
      <c r="AB262" s="211"/>
      <c r="AC262" s="211"/>
      <c r="AD262" s="211"/>
    </row>
    <row r="263" ht="17.25" customHeight="1">
      <c r="H263" s="133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  <c r="AD263" s="211"/>
    </row>
    <row r="264" ht="17.25" customHeight="1">
      <c r="H264" s="133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A264" s="211"/>
      <c r="AB264" s="211"/>
      <c r="AC264" s="211"/>
      <c r="AD264" s="211"/>
    </row>
    <row r="265" ht="17.25" customHeight="1">
      <c r="H265" s="133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A265" s="211"/>
      <c r="AB265" s="211"/>
      <c r="AC265" s="211"/>
      <c r="AD265" s="211"/>
    </row>
    <row r="266" ht="17.25" customHeight="1">
      <c r="H266" s="133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  <c r="AD266" s="211"/>
    </row>
    <row r="267" ht="17.25" customHeight="1">
      <c r="H267" s="133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</row>
    <row r="268" ht="17.25" customHeight="1">
      <c r="H268" s="133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A268" s="211"/>
      <c r="AB268" s="211"/>
      <c r="AC268" s="211"/>
      <c r="AD268" s="211"/>
    </row>
    <row r="269" ht="17.25" customHeight="1">
      <c r="H269" s="133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  <c r="AD269" s="211"/>
    </row>
    <row r="270" ht="17.25" customHeight="1">
      <c r="H270" s="133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A270" s="211"/>
      <c r="AB270" s="211"/>
      <c r="AC270" s="211"/>
      <c r="AD270" s="211"/>
    </row>
    <row r="271" ht="17.25" customHeight="1">
      <c r="H271" s="133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A271" s="211"/>
      <c r="AB271" s="211"/>
      <c r="AC271" s="211"/>
      <c r="AD271" s="211"/>
    </row>
    <row r="272" ht="17.25" customHeight="1">
      <c r="H272" s="133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A272" s="211"/>
      <c r="AB272" s="211"/>
      <c r="AC272" s="211"/>
      <c r="AD272" s="211"/>
    </row>
    <row r="273" ht="17.25" customHeight="1">
      <c r="H273" s="133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A273" s="211"/>
      <c r="AB273" s="211"/>
      <c r="AC273" s="211"/>
      <c r="AD273" s="211"/>
    </row>
    <row r="274" ht="17.25" customHeight="1">
      <c r="H274" s="133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A274" s="211"/>
      <c r="AB274" s="211"/>
      <c r="AC274" s="211"/>
      <c r="AD274" s="211"/>
    </row>
    <row r="275" ht="17.25" customHeight="1">
      <c r="H275" s="133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A275" s="211"/>
      <c r="AB275" s="211"/>
      <c r="AC275" s="211"/>
      <c r="AD275" s="211"/>
    </row>
    <row r="276" ht="17.25" customHeight="1">
      <c r="H276" s="133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A276" s="211"/>
      <c r="AB276" s="211"/>
      <c r="AC276" s="211"/>
      <c r="AD276" s="211"/>
    </row>
    <row r="277" ht="17.25" customHeight="1">
      <c r="H277" s="133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A277" s="211"/>
      <c r="AB277" s="211"/>
      <c r="AC277" s="211"/>
      <c r="AD277" s="211"/>
    </row>
    <row r="278" ht="17.25" customHeight="1">
      <c r="H278" s="133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  <c r="AD278" s="211"/>
    </row>
    <row r="279" ht="17.25" customHeight="1">
      <c r="H279" s="133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A279" s="211"/>
      <c r="AB279" s="211"/>
      <c r="AC279" s="211"/>
      <c r="AD279" s="211"/>
    </row>
    <row r="280" ht="17.25" customHeight="1">
      <c r="H280" s="133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A280" s="211"/>
      <c r="AB280" s="211"/>
      <c r="AC280" s="211"/>
      <c r="AD280" s="211"/>
    </row>
    <row r="281" ht="17.25" customHeight="1">
      <c r="H281" s="133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A281" s="211"/>
      <c r="AB281" s="211"/>
      <c r="AC281" s="211"/>
      <c r="AD281" s="211"/>
    </row>
    <row r="282" ht="17.25" customHeight="1">
      <c r="H282" s="133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  <c r="AD282" s="211"/>
    </row>
    <row r="283" ht="17.25" customHeight="1">
      <c r="H283" s="133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A283" s="211"/>
      <c r="AB283" s="211"/>
      <c r="AC283" s="211"/>
      <c r="AD283" s="211"/>
    </row>
    <row r="284" ht="17.25" customHeight="1">
      <c r="H284" s="133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A284" s="211"/>
      <c r="AB284" s="211"/>
      <c r="AC284" s="211"/>
      <c r="AD284" s="211"/>
    </row>
    <row r="285" ht="17.25" customHeight="1">
      <c r="H285" s="133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A285" s="211"/>
      <c r="AB285" s="211"/>
      <c r="AC285" s="211"/>
      <c r="AD285" s="211"/>
    </row>
    <row r="286" ht="17.25" customHeight="1">
      <c r="H286" s="133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A286" s="211"/>
      <c r="AB286" s="211"/>
      <c r="AC286" s="211"/>
      <c r="AD286" s="211"/>
    </row>
    <row r="287" ht="17.25" customHeight="1">
      <c r="H287" s="133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A287" s="211"/>
      <c r="AB287" s="211"/>
      <c r="AC287" s="211"/>
      <c r="AD287" s="211"/>
    </row>
    <row r="288" ht="17.25" customHeight="1">
      <c r="H288" s="133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A288" s="211"/>
      <c r="AB288" s="211"/>
      <c r="AC288" s="211"/>
      <c r="AD288" s="211"/>
    </row>
    <row r="289" ht="17.25" customHeight="1">
      <c r="H289" s="133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A289" s="211"/>
      <c r="AB289" s="211"/>
      <c r="AC289" s="211"/>
      <c r="AD289" s="211"/>
    </row>
    <row r="290" ht="17.25" customHeight="1">
      <c r="H290" s="133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A290" s="211"/>
      <c r="AB290" s="211"/>
      <c r="AC290" s="211"/>
      <c r="AD290" s="211"/>
    </row>
    <row r="291" ht="17.25" customHeight="1">
      <c r="H291" s="133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A291" s="211"/>
      <c r="AB291" s="211"/>
      <c r="AC291" s="211"/>
      <c r="AD291" s="211"/>
    </row>
    <row r="292" ht="17.25" customHeight="1">
      <c r="H292" s="133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A292" s="211"/>
      <c r="AB292" s="211"/>
      <c r="AC292" s="211"/>
      <c r="AD292" s="211"/>
    </row>
    <row r="293" ht="17.25" customHeight="1">
      <c r="H293" s="133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</row>
    <row r="294" ht="17.25" customHeight="1">
      <c r="H294" s="133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A294" s="211"/>
      <c r="AB294" s="211"/>
      <c r="AC294" s="211"/>
      <c r="AD294" s="211"/>
    </row>
    <row r="295" ht="17.25" customHeight="1">
      <c r="H295" s="133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A295" s="211"/>
      <c r="AB295" s="211"/>
      <c r="AC295" s="211"/>
      <c r="AD295" s="211"/>
    </row>
    <row r="296" ht="17.25" customHeight="1">
      <c r="H296" s="133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  <c r="AB296" s="211"/>
      <c r="AC296" s="211"/>
      <c r="AD296" s="211"/>
    </row>
    <row r="297" ht="17.25" customHeight="1">
      <c r="H297" s="133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  <c r="AB297" s="211"/>
      <c r="AC297" s="211"/>
      <c r="AD297" s="211"/>
    </row>
    <row r="298" ht="17.25" customHeight="1">
      <c r="H298" s="133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  <c r="AB298" s="211"/>
      <c r="AC298" s="211"/>
      <c r="AD298" s="211"/>
    </row>
    <row r="299" ht="17.25" customHeight="1">
      <c r="H299" s="133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  <c r="AB299" s="211"/>
      <c r="AC299" s="211"/>
      <c r="AD299" s="211"/>
    </row>
    <row r="300" ht="17.25" customHeight="1">
      <c r="H300" s="133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  <c r="AB300" s="211"/>
      <c r="AC300" s="211"/>
      <c r="AD300" s="211"/>
    </row>
    <row r="301" ht="17.25" customHeight="1">
      <c r="H301" s="133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  <c r="AC301" s="211"/>
      <c r="AD301" s="211"/>
    </row>
    <row r="302" ht="17.25" customHeight="1">
      <c r="H302" s="133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  <c r="AB302" s="211"/>
      <c r="AC302" s="211"/>
      <c r="AD302" s="211"/>
    </row>
    <row r="303" ht="17.25" customHeight="1">
      <c r="H303" s="133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  <c r="AB303" s="211"/>
      <c r="AC303" s="211"/>
      <c r="AD303" s="211"/>
    </row>
    <row r="304" ht="17.25" customHeight="1">
      <c r="H304" s="133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  <c r="AB304" s="211"/>
      <c r="AC304" s="211"/>
      <c r="AD304" s="211"/>
    </row>
    <row r="305" ht="17.25" customHeight="1">
      <c r="H305" s="133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  <c r="AB305" s="211"/>
      <c r="AC305" s="211"/>
      <c r="AD305" s="211"/>
    </row>
    <row r="306" ht="17.25" customHeight="1">
      <c r="H306" s="133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  <c r="AB306" s="211"/>
      <c r="AC306" s="211"/>
      <c r="AD306" s="211"/>
    </row>
    <row r="307" ht="17.25" customHeight="1">
      <c r="H307" s="133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  <c r="AD307" s="211"/>
    </row>
    <row r="308" ht="17.25" customHeight="1">
      <c r="H308" s="133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</row>
    <row r="309" ht="17.25" customHeight="1">
      <c r="H309" s="133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  <c r="AB309" s="211"/>
      <c r="AC309" s="211"/>
      <c r="AD309" s="211"/>
    </row>
    <row r="310" ht="17.25" customHeight="1">
      <c r="H310" s="133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  <c r="AB310" s="211"/>
      <c r="AC310" s="211"/>
      <c r="AD310" s="211"/>
    </row>
    <row r="311" ht="17.25" customHeight="1">
      <c r="H311" s="133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  <c r="AB311" s="211"/>
      <c r="AC311" s="211"/>
      <c r="AD311" s="211"/>
    </row>
    <row r="312" ht="17.25" customHeight="1">
      <c r="H312" s="133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  <c r="AB312" s="211"/>
      <c r="AC312" s="211"/>
      <c r="AD312" s="211"/>
    </row>
    <row r="313" ht="17.25" customHeight="1">
      <c r="H313" s="133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  <c r="AB313" s="211"/>
      <c r="AC313" s="211"/>
      <c r="AD313" s="211"/>
    </row>
    <row r="314" ht="17.25" customHeight="1">
      <c r="H314" s="133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</row>
    <row r="315" ht="17.25" customHeight="1">
      <c r="H315" s="133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  <c r="AB315" s="211"/>
      <c r="AC315" s="211"/>
      <c r="AD315" s="211"/>
    </row>
    <row r="316" ht="17.25" customHeight="1">
      <c r="H316" s="133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  <c r="AB316" s="211"/>
      <c r="AC316" s="211"/>
      <c r="AD316" s="211"/>
    </row>
    <row r="317" ht="17.25" customHeight="1">
      <c r="H317" s="133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  <c r="AB317" s="211"/>
      <c r="AC317" s="211"/>
      <c r="AD317" s="211"/>
    </row>
    <row r="318" ht="17.25" customHeight="1">
      <c r="H318" s="133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  <c r="AB318" s="211"/>
      <c r="AC318" s="211"/>
      <c r="AD318" s="211"/>
    </row>
    <row r="319" ht="17.25" customHeight="1">
      <c r="H319" s="133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  <c r="AB319" s="211"/>
      <c r="AC319" s="211"/>
      <c r="AD319" s="211"/>
    </row>
    <row r="320" ht="17.25" customHeight="1">
      <c r="H320" s="133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  <c r="AB320" s="211"/>
      <c r="AC320" s="211"/>
      <c r="AD320" s="211"/>
    </row>
    <row r="321" ht="17.25" customHeight="1">
      <c r="H321" s="133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  <c r="AB321" s="211"/>
      <c r="AC321" s="211"/>
      <c r="AD321" s="211"/>
    </row>
    <row r="322" ht="17.25" customHeight="1">
      <c r="H322" s="133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  <c r="AB322" s="211"/>
      <c r="AC322" s="211"/>
      <c r="AD322" s="211"/>
    </row>
    <row r="323" ht="17.25" customHeight="1">
      <c r="H323" s="133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  <c r="AB323" s="211"/>
      <c r="AC323" s="211"/>
      <c r="AD323" s="211"/>
    </row>
    <row r="324" ht="17.25" customHeight="1">
      <c r="H324" s="133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  <c r="AB324" s="211"/>
      <c r="AC324" s="211"/>
      <c r="AD324" s="211"/>
    </row>
    <row r="325" ht="17.25" customHeight="1">
      <c r="H325" s="133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  <c r="AB325" s="211"/>
      <c r="AC325" s="211"/>
      <c r="AD325" s="211"/>
    </row>
    <row r="326" ht="17.25" customHeight="1">
      <c r="H326" s="133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  <c r="AB326" s="211"/>
      <c r="AC326" s="211"/>
      <c r="AD326" s="211"/>
    </row>
    <row r="327" ht="17.25" customHeight="1">
      <c r="H327" s="133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  <c r="AB327" s="211"/>
      <c r="AC327" s="211"/>
      <c r="AD327" s="211"/>
    </row>
    <row r="328" ht="17.25" customHeight="1">
      <c r="H328" s="133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  <c r="AB328" s="211"/>
      <c r="AC328" s="211"/>
      <c r="AD328" s="211"/>
    </row>
    <row r="329" ht="17.25" customHeight="1">
      <c r="H329" s="133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  <c r="AB329" s="211"/>
      <c r="AC329" s="211"/>
      <c r="AD329" s="211"/>
    </row>
    <row r="330" ht="17.25" customHeight="1">
      <c r="H330" s="133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  <c r="AB330" s="211"/>
      <c r="AC330" s="211"/>
      <c r="AD330" s="211"/>
    </row>
    <row r="331" ht="17.25" customHeight="1">
      <c r="H331" s="133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  <c r="AB331" s="211"/>
      <c r="AC331" s="211"/>
      <c r="AD331" s="211"/>
    </row>
    <row r="332" ht="17.25" customHeight="1">
      <c r="H332" s="133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  <c r="AB332" s="211"/>
      <c r="AC332" s="211"/>
      <c r="AD332" s="211"/>
    </row>
    <row r="333" ht="17.25" customHeight="1">
      <c r="H333" s="133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  <c r="AB333" s="211"/>
      <c r="AC333" s="211"/>
      <c r="AD333" s="211"/>
    </row>
    <row r="334" ht="17.25" customHeight="1">
      <c r="H334" s="133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  <c r="AB334" s="211"/>
      <c r="AC334" s="211"/>
      <c r="AD334" s="211"/>
    </row>
    <row r="335" ht="17.25" customHeight="1">
      <c r="H335" s="133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  <c r="AB335" s="211"/>
      <c r="AC335" s="211"/>
      <c r="AD335" s="211"/>
    </row>
    <row r="336" ht="17.25" customHeight="1">
      <c r="H336" s="133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  <c r="AB336" s="211"/>
      <c r="AC336" s="211"/>
      <c r="AD336" s="211"/>
    </row>
    <row r="337" ht="17.25" customHeight="1">
      <c r="H337" s="133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  <c r="AB337" s="211"/>
      <c r="AC337" s="211"/>
      <c r="AD337" s="211"/>
    </row>
    <row r="338" ht="17.25" customHeight="1">
      <c r="H338" s="133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  <c r="AB338" s="211"/>
      <c r="AC338" s="211"/>
      <c r="AD338" s="211"/>
    </row>
    <row r="339" ht="17.25" customHeight="1">
      <c r="H339" s="133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  <c r="AB339" s="211"/>
      <c r="AC339" s="211"/>
      <c r="AD339" s="211"/>
    </row>
    <row r="340" ht="17.25" customHeight="1">
      <c r="H340" s="133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  <c r="AB340" s="211"/>
      <c r="AC340" s="211"/>
      <c r="AD340" s="211"/>
    </row>
    <row r="341" ht="17.25" customHeight="1">
      <c r="H341" s="133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  <c r="AB341" s="211"/>
      <c r="AC341" s="211"/>
      <c r="AD341" s="211"/>
    </row>
    <row r="342" ht="17.25" customHeight="1">
      <c r="H342" s="133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  <c r="AB342" s="211"/>
      <c r="AC342" s="211"/>
      <c r="AD342" s="211"/>
    </row>
    <row r="343" ht="17.25" customHeight="1">
      <c r="H343" s="133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  <c r="AB343" s="211"/>
      <c r="AC343" s="211"/>
      <c r="AD343" s="211"/>
    </row>
    <row r="344" ht="17.25" customHeight="1">
      <c r="H344" s="133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  <c r="AB344" s="211"/>
      <c r="AC344" s="211"/>
      <c r="AD344" s="211"/>
    </row>
    <row r="345" ht="17.25" customHeight="1">
      <c r="H345" s="133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  <c r="AB345" s="211"/>
      <c r="AC345" s="211"/>
      <c r="AD345" s="211"/>
    </row>
    <row r="346" ht="17.25" customHeight="1">
      <c r="H346" s="133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  <c r="AB346" s="211"/>
      <c r="AC346" s="211"/>
      <c r="AD346" s="211"/>
    </row>
    <row r="347" ht="17.25" customHeight="1">
      <c r="H347" s="133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  <c r="AB347" s="211"/>
      <c r="AC347" s="211"/>
      <c r="AD347" s="211"/>
    </row>
    <row r="348" ht="17.25" customHeight="1">
      <c r="H348" s="133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  <c r="AB348" s="211"/>
      <c r="AC348" s="211"/>
      <c r="AD348" s="211"/>
    </row>
    <row r="349" ht="17.25" customHeight="1">
      <c r="H349" s="133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  <c r="AB349" s="211"/>
      <c r="AC349" s="211"/>
      <c r="AD349" s="211"/>
    </row>
    <row r="350" ht="17.25" customHeight="1">
      <c r="H350" s="133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  <c r="AB350" s="211"/>
      <c r="AC350" s="211"/>
      <c r="AD350" s="211"/>
    </row>
    <row r="351" ht="17.25" customHeight="1">
      <c r="H351" s="133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  <c r="AB351" s="211"/>
      <c r="AC351" s="211"/>
      <c r="AD351" s="211"/>
    </row>
    <row r="352" ht="17.25" customHeight="1">
      <c r="H352" s="133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  <c r="AB352" s="211"/>
      <c r="AC352" s="211"/>
      <c r="AD352" s="211"/>
    </row>
    <row r="353" ht="17.25" customHeight="1">
      <c r="H353" s="133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  <c r="AB353" s="211"/>
      <c r="AC353" s="211"/>
      <c r="AD353" s="211"/>
    </row>
    <row r="354" ht="17.25" customHeight="1">
      <c r="H354" s="133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  <c r="AB354" s="211"/>
      <c r="AC354" s="211"/>
      <c r="AD354" s="211"/>
    </row>
    <row r="355" ht="17.25" customHeight="1">
      <c r="H355" s="133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  <c r="AB355" s="211"/>
      <c r="AC355" s="211"/>
      <c r="AD355" s="211"/>
    </row>
    <row r="356" ht="17.25" customHeight="1">
      <c r="H356" s="133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  <c r="AB356" s="211"/>
      <c r="AC356" s="211"/>
      <c r="AD356" s="211"/>
    </row>
    <row r="357" ht="17.25" customHeight="1">
      <c r="H357" s="133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  <c r="AB357" s="211"/>
      <c r="AC357" s="211"/>
      <c r="AD357" s="211"/>
    </row>
    <row r="358" ht="17.25" customHeight="1">
      <c r="H358" s="133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  <c r="AB358" s="211"/>
      <c r="AC358" s="211"/>
      <c r="AD358" s="211"/>
    </row>
    <row r="359" ht="17.25" customHeight="1">
      <c r="H359" s="133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  <c r="AB359" s="211"/>
      <c r="AC359" s="211"/>
      <c r="AD359" s="211"/>
    </row>
    <row r="360" ht="17.25" customHeight="1">
      <c r="H360" s="133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  <c r="AB360" s="211"/>
      <c r="AC360" s="211"/>
      <c r="AD360" s="211"/>
    </row>
    <row r="361" ht="17.25" customHeight="1">
      <c r="H361" s="133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  <c r="AB361" s="211"/>
      <c r="AC361" s="211"/>
      <c r="AD361" s="211"/>
    </row>
    <row r="362" ht="17.25" customHeight="1">
      <c r="H362" s="133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  <c r="AB362" s="211"/>
      <c r="AC362" s="211"/>
      <c r="AD362" s="211"/>
    </row>
    <row r="363" ht="17.25" customHeight="1">
      <c r="H363" s="133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  <c r="AB363" s="211"/>
      <c r="AC363" s="211"/>
      <c r="AD363" s="211"/>
    </row>
    <row r="364" ht="17.25" customHeight="1">
      <c r="H364" s="133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  <c r="AB364" s="211"/>
      <c r="AC364" s="211"/>
      <c r="AD364" s="211"/>
    </row>
    <row r="365" ht="17.25" customHeight="1">
      <c r="H365" s="133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  <c r="AD365" s="211"/>
    </row>
    <row r="366" ht="17.25" customHeight="1">
      <c r="H366" s="133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  <c r="AB366" s="211"/>
      <c r="AC366" s="211"/>
      <c r="AD366" s="211"/>
    </row>
    <row r="367" ht="17.25" customHeight="1">
      <c r="H367" s="133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  <c r="AB367" s="211"/>
      <c r="AC367" s="211"/>
      <c r="AD367" s="211"/>
    </row>
    <row r="368" ht="17.25" customHeight="1">
      <c r="H368" s="133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  <c r="AB368" s="211"/>
      <c r="AC368" s="211"/>
      <c r="AD368" s="211"/>
    </row>
    <row r="369" ht="17.25" customHeight="1">
      <c r="H369" s="133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  <c r="AB369" s="211"/>
      <c r="AC369" s="211"/>
      <c r="AD369" s="211"/>
    </row>
    <row r="370" ht="17.25" customHeight="1">
      <c r="H370" s="133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  <c r="AB370" s="211"/>
      <c r="AC370" s="211"/>
      <c r="AD370" s="211"/>
    </row>
    <row r="371" ht="17.25" customHeight="1">
      <c r="H371" s="133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</row>
    <row r="372" ht="17.25" customHeight="1">
      <c r="H372" s="133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</row>
    <row r="373" ht="17.25" customHeight="1">
      <c r="H373" s="133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  <c r="AB373" s="211"/>
      <c r="AC373" s="211"/>
      <c r="AD373" s="211"/>
    </row>
    <row r="374" ht="17.25" customHeight="1">
      <c r="H374" s="133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  <c r="AD374" s="211"/>
    </row>
    <row r="375" ht="17.25" customHeight="1">
      <c r="H375" s="133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  <c r="AD375" s="211"/>
    </row>
    <row r="376" ht="17.25" customHeight="1">
      <c r="H376" s="133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  <c r="AD376" s="211"/>
    </row>
    <row r="377" ht="17.25" customHeight="1">
      <c r="H377" s="133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  <c r="AD377" s="211"/>
    </row>
    <row r="378" ht="17.25" customHeight="1">
      <c r="H378" s="133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  <c r="AB378" s="211"/>
      <c r="AC378" s="211"/>
      <c r="AD378" s="211"/>
    </row>
    <row r="379" ht="17.25" customHeight="1">
      <c r="H379" s="133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  <c r="AB379" s="211"/>
      <c r="AC379" s="211"/>
      <c r="AD379" s="211"/>
    </row>
    <row r="380" ht="17.25" customHeight="1">
      <c r="H380" s="133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  <c r="AB380" s="211"/>
      <c r="AC380" s="211"/>
      <c r="AD380" s="211"/>
    </row>
    <row r="381" ht="17.25" customHeight="1">
      <c r="H381" s="133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  <c r="AB381" s="211"/>
      <c r="AC381" s="211"/>
      <c r="AD381" s="211"/>
    </row>
    <row r="382" ht="17.25" customHeight="1">
      <c r="H382" s="133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  <c r="AB382" s="211"/>
      <c r="AC382" s="211"/>
      <c r="AD382" s="211"/>
    </row>
    <row r="383" ht="17.25" customHeight="1">
      <c r="H383" s="133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  <c r="AB383" s="211"/>
      <c r="AC383" s="211"/>
      <c r="AD383" s="211"/>
    </row>
    <row r="384" ht="17.25" customHeight="1">
      <c r="H384" s="133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  <c r="AB384" s="211"/>
      <c r="AC384" s="211"/>
      <c r="AD384" s="211"/>
    </row>
    <row r="385" ht="17.25" customHeight="1">
      <c r="H385" s="133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  <c r="AB385" s="211"/>
      <c r="AC385" s="211"/>
      <c r="AD385" s="211"/>
    </row>
    <row r="386" ht="17.25" customHeight="1">
      <c r="H386" s="133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  <c r="AB386" s="211"/>
      <c r="AC386" s="211"/>
      <c r="AD386" s="211"/>
    </row>
    <row r="387" ht="17.25" customHeight="1">
      <c r="H387" s="133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  <c r="AB387" s="211"/>
      <c r="AC387" s="211"/>
      <c r="AD387" s="211"/>
    </row>
    <row r="388" ht="17.25" customHeight="1">
      <c r="H388" s="133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  <c r="AB388" s="211"/>
      <c r="AC388" s="211"/>
      <c r="AD388" s="211"/>
    </row>
    <row r="389" ht="17.25" customHeight="1">
      <c r="H389" s="133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  <c r="AB389" s="211"/>
      <c r="AC389" s="211"/>
      <c r="AD389" s="211"/>
    </row>
    <row r="390" ht="17.25" customHeight="1">
      <c r="H390" s="133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  <c r="AB390" s="211"/>
      <c r="AC390" s="211"/>
      <c r="AD390" s="211"/>
    </row>
    <row r="391" ht="17.25" customHeight="1">
      <c r="H391" s="133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  <c r="AB391" s="211"/>
      <c r="AC391" s="211"/>
      <c r="AD391" s="211"/>
    </row>
    <row r="392" ht="17.25" customHeight="1">
      <c r="H392" s="133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  <c r="AD392" s="211"/>
    </row>
    <row r="393" ht="17.25" customHeight="1">
      <c r="H393" s="133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  <c r="AB393" s="211"/>
      <c r="AC393" s="211"/>
      <c r="AD393" s="211"/>
    </row>
    <row r="394" ht="17.25" customHeight="1">
      <c r="H394" s="133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  <c r="AB394" s="211"/>
      <c r="AC394" s="211"/>
      <c r="AD394" s="211"/>
    </row>
    <row r="395" ht="17.25" customHeight="1">
      <c r="H395" s="133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  <c r="AB395" s="211"/>
      <c r="AC395" s="211"/>
      <c r="AD395" s="211"/>
    </row>
    <row r="396" ht="17.25" customHeight="1">
      <c r="H396" s="133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  <c r="AB396" s="211"/>
      <c r="AC396" s="211"/>
      <c r="AD396" s="211"/>
    </row>
    <row r="397" ht="17.25" customHeight="1">
      <c r="H397" s="133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  <c r="AB397" s="211"/>
      <c r="AC397" s="211"/>
      <c r="AD397" s="211"/>
    </row>
    <row r="398" ht="17.25" customHeight="1">
      <c r="H398" s="133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  <c r="AB398" s="211"/>
      <c r="AC398" s="211"/>
      <c r="AD398" s="211"/>
    </row>
    <row r="399" ht="17.25" customHeight="1">
      <c r="H399" s="133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  <c r="AB399" s="211"/>
      <c r="AC399" s="211"/>
      <c r="AD399" s="211"/>
    </row>
    <row r="400" ht="17.25" customHeight="1">
      <c r="H400" s="133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  <c r="AB400" s="211"/>
      <c r="AC400" s="211"/>
      <c r="AD400" s="211"/>
    </row>
    <row r="401" ht="17.25" customHeight="1">
      <c r="H401" s="133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  <c r="AB401" s="211"/>
      <c r="AC401" s="211"/>
      <c r="AD401" s="211"/>
    </row>
    <row r="402" ht="17.25" customHeight="1">
      <c r="H402" s="133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  <c r="AD402" s="211"/>
    </row>
    <row r="403" ht="17.25" customHeight="1">
      <c r="H403" s="133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  <c r="AD403" s="211"/>
    </row>
    <row r="404" ht="17.25" customHeight="1">
      <c r="H404" s="133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  <c r="AD404" s="211"/>
    </row>
    <row r="405" ht="17.25" customHeight="1">
      <c r="H405" s="133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  <c r="AB405" s="211"/>
      <c r="AC405" s="211"/>
      <c r="AD405" s="211"/>
    </row>
    <row r="406" ht="17.25" customHeight="1">
      <c r="H406" s="133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  <c r="AB406" s="211"/>
      <c r="AC406" s="211"/>
      <c r="AD406" s="211"/>
    </row>
    <row r="407" ht="17.25" customHeight="1">
      <c r="H407" s="133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  <c r="AB407" s="211"/>
      <c r="AC407" s="211"/>
      <c r="AD407" s="211"/>
    </row>
    <row r="408" ht="17.25" customHeight="1">
      <c r="H408" s="133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  <c r="AD408" s="211"/>
    </row>
    <row r="409" ht="17.25" customHeight="1">
      <c r="H409" s="133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  <c r="AB409" s="211"/>
      <c r="AC409" s="211"/>
      <c r="AD409" s="211"/>
    </row>
    <row r="410" ht="17.25" customHeight="1">
      <c r="H410" s="133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  <c r="AB410" s="211"/>
      <c r="AC410" s="211"/>
      <c r="AD410" s="211"/>
    </row>
    <row r="411" ht="17.25" customHeight="1">
      <c r="H411" s="133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  <c r="AB411" s="211"/>
      <c r="AC411" s="211"/>
      <c r="AD411" s="211"/>
    </row>
    <row r="412" ht="17.25" customHeight="1">
      <c r="H412" s="133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  <c r="AB412" s="211"/>
      <c r="AC412" s="211"/>
      <c r="AD412" s="211"/>
    </row>
    <row r="413" ht="17.25" customHeight="1">
      <c r="H413" s="133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  <c r="AB413" s="211"/>
      <c r="AC413" s="211"/>
      <c r="AD413" s="211"/>
    </row>
    <row r="414" ht="17.25" customHeight="1">
      <c r="H414" s="133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  <c r="AB414" s="211"/>
      <c r="AC414" s="211"/>
      <c r="AD414" s="211"/>
    </row>
    <row r="415" ht="17.25" customHeight="1">
      <c r="H415" s="133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  <c r="AB415" s="211"/>
      <c r="AC415" s="211"/>
      <c r="AD415" s="211"/>
    </row>
    <row r="416" ht="17.25" customHeight="1">
      <c r="H416" s="133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  <c r="AB416" s="211"/>
      <c r="AC416" s="211"/>
      <c r="AD416" s="211"/>
    </row>
    <row r="417" ht="17.25" customHeight="1">
      <c r="H417" s="133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  <c r="AB417" s="211"/>
      <c r="AC417" s="211"/>
      <c r="AD417" s="211"/>
    </row>
    <row r="418" ht="17.25" customHeight="1">
      <c r="H418" s="133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  <c r="AB418" s="211"/>
      <c r="AC418" s="211"/>
      <c r="AD418" s="211"/>
    </row>
    <row r="419" ht="17.25" customHeight="1">
      <c r="H419" s="133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  <c r="AB419" s="211"/>
      <c r="AC419" s="211"/>
      <c r="AD419" s="211"/>
    </row>
    <row r="420" ht="17.25" customHeight="1">
      <c r="H420" s="133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  <c r="AB420" s="211"/>
      <c r="AC420" s="211"/>
      <c r="AD420" s="211"/>
    </row>
    <row r="421" ht="17.25" customHeight="1">
      <c r="H421" s="133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  <c r="AB421" s="211"/>
      <c r="AC421" s="211"/>
      <c r="AD421" s="211"/>
    </row>
    <row r="422" ht="17.25" customHeight="1">
      <c r="H422" s="133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  <c r="AB422" s="211"/>
      <c r="AC422" s="211"/>
      <c r="AD422" s="211"/>
    </row>
    <row r="423" ht="17.25" customHeight="1">
      <c r="H423" s="133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  <c r="AB423" s="211"/>
      <c r="AC423" s="211"/>
      <c r="AD423" s="211"/>
    </row>
    <row r="424" ht="17.25" customHeight="1">
      <c r="H424" s="133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  <c r="AB424" s="211"/>
      <c r="AC424" s="211"/>
      <c r="AD424" s="211"/>
    </row>
    <row r="425" ht="17.25" customHeight="1">
      <c r="H425" s="133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  <c r="AB425" s="211"/>
      <c r="AC425" s="211"/>
      <c r="AD425" s="211"/>
    </row>
    <row r="426" ht="17.25" customHeight="1">
      <c r="H426" s="133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  <c r="AB426" s="211"/>
      <c r="AC426" s="211"/>
      <c r="AD426" s="211"/>
    </row>
    <row r="427" ht="17.25" customHeight="1">
      <c r="H427" s="133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  <c r="AB427" s="211"/>
      <c r="AC427" s="211"/>
      <c r="AD427" s="211"/>
    </row>
    <row r="428" ht="17.25" customHeight="1">
      <c r="H428" s="133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  <c r="AB428" s="211"/>
      <c r="AC428" s="211"/>
      <c r="AD428" s="211"/>
    </row>
    <row r="429" ht="17.25" customHeight="1">
      <c r="H429" s="133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  <c r="AB429" s="211"/>
      <c r="AC429" s="211"/>
      <c r="AD429" s="211"/>
    </row>
    <row r="430" ht="17.25" customHeight="1">
      <c r="H430" s="133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  <c r="AB430" s="211"/>
      <c r="AC430" s="211"/>
      <c r="AD430" s="211"/>
    </row>
    <row r="431" ht="17.25" customHeight="1">
      <c r="H431" s="133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  <c r="AB431" s="211"/>
      <c r="AC431" s="211"/>
      <c r="AD431" s="211"/>
    </row>
    <row r="432" ht="17.25" customHeight="1">
      <c r="H432" s="133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  <c r="AB432" s="211"/>
      <c r="AC432" s="211"/>
      <c r="AD432" s="211"/>
    </row>
    <row r="433" ht="17.25" customHeight="1">
      <c r="H433" s="133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  <c r="AB433" s="211"/>
      <c r="AC433" s="211"/>
      <c r="AD433" s="211"/>
    </row>
    <row r="434" ht="17.25" customHeight="1">
      <c r="H434" s="133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  <c r="AB434" s="211"/>
      <c r="AC434" s="211"/>
      <c r="AD434" s="211"/>
    </row>
    <row r="435" ht="17.25" customHeight="1">
      <c r="H435" s="133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  <c r="AB435" s="211"/>
      <c r="AC435" s="211"/>
      <c r="AD435" s="211"/>
    </row>
    <row r="436" ht="17.25" customHeight="1">
      <c r="H436" s="133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  <c r="AB436" s="211"/>
      <c r="AC436" s="211"/>
      <c r="AD436" s="211"/>
    </row>
    <row r="437" ht="17.25" customHeight="1">
      <c r="H437" s="133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  <c r="AB437" s="211"/>
      <c r="AC437" s="211"/>
      <c r="AD437" s="211"/>
    </row>
    <row r="438" ht="17.25" customHeight="1">
      <c r="H438" s="133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  <c r="AB438" s="211"/>
      <c r="AC438" s="211"/>
      <c r="AD438" s="211"/>
    </row>
    <row r="439" ht="17.25" customHeight="1">
      <c r="H439" s="133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  <c r="AB439" s="211"/>
      <c r="AC439" s="211"/>
      <c r="AD439" s="211"/>
    </row>
    <row r="440" ht="17.25" customHeight="1">
      <c r="H440" s="133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  <c r="AB440" s="211"/>
      <c r="AC440" s="211"/>
      <c r="AD440" s="211"/>
    </row>
    <row r="441" ht="17.25" customHeight="1">
      <c r="H441" s="133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  <c r="AB441" s="211"/>
      <c r="AC441" s="211"/>
      <c r="AD441" s="211"/>
    </row>
    <row r="442" ht="17.25" customHeight="1">
      <c r="H442" s="133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  <c r="AB442" s="211"/>
      <c r="AC442" s="211"/>
      <c r="AD442" s="211"/>
    </row>
    <row r="443" ht="17.25" customHeight="1">
      <c r="H443" s="133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  <c r="AD443" s="211"/>
    </row>
    <row r="444" ht="17.25" customHeight="1">
      <c r="H444" s="133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  <c r="AB444" s="211"/>
      <c r="AC444" s="211"/>
      <c r="AD444" s="211"/>
    </row>
    <row r="445" ht="17.25" customHeight="1">
      <c r="H445" s="133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  <c r="AB445" s="211"/>
      <c r="AC445" s="211"/>
      <c r="AD445" s="211"/>
    </row>
    <row r="446" ht="17.25" customHeight="1">
      <c r="H446" s="133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  <c r="AB446" s="211"/>
      <c r="AC446" s="211"/>
      <c r="AD446" s="211"/>
    </row>
    <row r="447" ht="17.25" customHeight="1">
      <c r="H447" s="133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  <c r="AB447" s="211"/>
      <c r="AC447" s="211"/>
      <c r="AD447" s="211"/>
    </row>
    <row r="448" ht="17.25" customHeight="1">
      <c r="H448" s="133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  <c r="AB448" s="211"/>
      <c r="AC448" s="211"/>
      <c r="AD448" s="211"/>
    </row>
    <row r="449" ht="17.25" customHeight="1">
      <c r="H449" s="133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  <c r="AB449" s="211"/>
      <c r="AC449" s="211"/>
      <c r="AD449" s="211"/>
    </row>
    <row r="450" ht="17.25" customHeight="1">
      <c r="H450" s="133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  <c r="AB450" s="211"/>
      <c r="AC450" s="211"/>
      <c r="AD450" s="211"/>
    </row>
    <row r="451" ht="17.25" customHeight="1">
      <c r="H451" s="133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  <c r="AB451" s="211"/>
      <c r="AC451" s="211"/>
      <c r="AD451" s="211"/>
    </row>
    <row r="452" ht="17.25" customHeight="1">
      <c r="H452" s="133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  <c r="AB452" s="211"/>
      <c r="AC452" s="211"/>
      <c r="AD452" s="211"/>
    </row>
    <row r="453" ht="17.25" customHeight="1">
      <c r="H453" s="133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  <c r="AB453" s="211"/>
      <c r="AC453" s="211"/>
      <c r="AD453" s="211"/>
    </row>
    <row r="454" ht="17.25" customHeight="1">
      <c r="H454" s="133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  <c r="AB454" s="211"/>
      <c r="AC454" s="211"/>
      <c r="AD454" s="211"/>
    </row>
    <row r="455" ht="17.25" customHeight="1">
      <c r="H455" s="133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  <c r="AB455" s="211"/>
      <c r="AC455" s="211"/>
      <c r="AD455" s="211"/>
    </row>
    <row r="456" ht="17.25" customHeight="1">
      <c r="H456" s="133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  <c r="AB456" s="211"/>
      <c r="AC456" s="211"/>
      <c r="AD456" s="211"/>
    </row>
    <row r="457" ht="17.25" customHeight="1">
      <c r="H457" s="133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  <c r="AB457" s="211"/>
      <c r="AC457" s="211"/>
      <c r="AD457" s="211"/>
    </row>
    <row r="458" ht="17.25" customHeight="1">
      <c r="H458" s="133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  <c r="AB458" s="211"/>
      <c r="AC458" s="211"/>
      <c r="AD458" s="211"/>
    </row>
    <row r="459" ht="17.25" customHeight="1">
      <c r="H459" s="133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  <c r="AB459" s="211"/>
      <c r="AC459" s="211"/>
      <c r="AD459" s="211"/>
    </row>
    <row r="460" ht="17.25" customHeight="1">
      <c r="H460" s="133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  <c r="AB460" s="211"/>
      <c r="AC460" s="211"/>
      <c r="AD460" s="211"/>
    </row>
    <row r="461" ht="17.25" customHeight="1">
      <c r="H461" s="133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  <c r="AB461" s="211"/>
      <c r="AC461" s="211"/>
      <c r="AD461" s="211"/>
    </row>
    <row r="462" ht="17.25" customHeight="1">
      <c r="H462" s="133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  <c r="AB462" s="211"/>
      <c r="AC462" s="211"/>
      <c r="AD462" s="211"/>
    </row>
    <row r="463" ht="17.25" customHeight="1">
      <c r="H463" s="133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  <c r="AB463" s="211"/>
      <c r="AC463" s="211"/>
      <c r="AD463" s="211"/>
    </row>
    <row r="464" ht="17.25" customHeight="1">
      <c r="H464" s="133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  <c r="AB464" s="211"/>
      <c r="AC464" s="211"/>
      <c r="AD464" s="211"/>
    </row>
    <row r="465" ht="17.25" customHeight="1">
      <c r="H465" s="133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  <c r="AB465" s="211"/>
      <c r="AC465" s="211"/>
      <c r="AD465" s="211"/>
    </row>
    <row r="466" ht="17.25" customHeight="1">
      <c r="H466" s="133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  <c r="AB466" s="211"/>
      <c r="AC466" s="211"/>
      <c r="AD466" s="211"/>
    </row>
    <row r="467" ht="17.25" customHeight="1">
      <c r="H467" s="133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  <c r="AB467" s="211"/>
      <c r="AC467" s="211"/>
      <c r="AD467" s="211"/>
    </row>
    <row r="468" ht="17.25" customHeight="1">
      <c r="H468" s="133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  <c r="AB468" s="211"/>
      <c r="AC468" s="211"/>
      <c r="AD468" s="211"/>
    </row>
    <row r="469" ht="17.25" customHeight="1">
      <c r="H469" s="133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  <c r="AB469" s="211"/>
      <c r="AC469" s="211"/>
      <c r="AD469" s="211"/>
    </row>
    <row r="470" ht="17.25" customHeight="1">
      <c r="H470" s="133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  <c r="AB470" s="211"/>
      <c r="AC470" s="211"/>
      <c r="AD470" s="211"/>
    </row>
    <row r="471" ht="17.25" customHeight="1">
      <c r="H471" s="133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  <c r="AB471" s="211"/>
      <c r="AC471" s="211"/>
      <c r="AD471" s="211"/>
    </row>
    <row r="472" ht="17.25" customHeight="1">
      <c r="H472" s="133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  <c r="AB472" s="211"/>
      <c r="AC472" s="211"/>
      <c r="AD472" s="211"/>
    </row>
    <row r="473" ht="17.25" customHeight="1">
      <c r="H473" s="133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  <c r="AB473" s="211"/>
      <c r="AC473" s="211"/>
      <c r="AD473" s="211"/>
    </row>
    <row r="474" ht="17.25" customHeight="1">
      <c r="H474" s="133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  <c r="AB474" s="211"/>
      <c r="AC474" s="211"/>
      <c r="AD474" s="211"/>
    </row>
    <row r="475" ht="17.25" customHeight="1">
      <c r="H475" s="133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  <c r="AB475" s="211"/>
      <c r="AC475" s="211"/>
      <c r="AD475" s="211"/>
    </row>
    <row r="476" ht="17.25" customHeight="1">
      <c r="H476" s="133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  <c r="AB476" s="211"/>
      <c r="AC476" s="211"/>
      <c r="AD476" s="211"/>
    </row>
    <row r="477" ht="17.25" customHeight="1">
      <c r="H477" s="133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  <c r="AB477" s="211"/>
      <c r="AC477" s="211"/>
      <c r="AD477" s="211"/>
    </row>
    <row r="478" ht="17.25" customHeight="1">
      <c r="H478" s="133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  <c r="AD478" s="211"/>
    </row>
    <row r="479" ht="17.25" customHeight="1">
      <c r="H479" s="133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  <c r="AD479" s="211"/>
    </row>
    <row r="480" ht="17.25" customHeight="1">
      <c r="H480" s="133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  <c r="AB480" s="211"/>
      <c r="AC480" s="211"/>
      <c r="AD480" s="211"/>
    </row>
    <row r="481" ht="17.25" customHeight="1">
      <c r="H481" s="133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  <c r="AD481" s="211"/>
    </row>
    <row r="482" ht="17.25" customHeight="1">
      <c r="H482" s="133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</row>
    <row r="483" ht="17.25" customHeight="1">
      <c r="H483" s="133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  <c r="AD483" s="211"/>
    </row>
    <row r="484" ht="17.25" customHeight="1">
      <c r="H484" s="133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  <c r="AB484" s="211"/>
      <c r="AC484" s="211"/>
      <c r="AD484" s="211"/>
    </row>
    <row r="485" ht="17.25" customHeight="1">
      <c r="H485" s="133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  <c r="AB485" s="211"/>
      <c r="AC485" s="211"/>
      <c r="AD485" s="211"/>
    </row>
    <row r="486" ht="17.25" customHeight="1">
      <c r="H486" s="133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  <c r="AB486" s="211"/>
      <c r="AC486" s="211"/>
      <c r="AD486" s="211"/>
    </row>
    <row r="487" ht="17.25" customHeight="1">
      <c r="H487" s="133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  <c r="AB487" s="211"/>
      <c r="AC487" s="211"/>
      <c r="AD487" s="211"/>
    </row>
    <row r="488" ht="17.25" customHeight="1">
      <c r="H488" s="133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  <c r="AB488" s="211"/>
      <c r="AC488" s="211"/>
      <c r="AD488" s="211"/>
    </row>
    <row r="489" ht="17.25" customHeight="1">
      <c r="H489" s="133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  <c r="AB489" s="211"/>
      <c r="AC489" s="211"/>
      <c r="AD489" s="211"/>
    </row>
    <row r="490" ht="17.25" customHeight="1">
      <c r="H490" s="133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  <c r="AB490" s="211"/>
      <c r="AC490" s="211"/>
      <c r="AD490" s="211"/>
    </row>
    <row r="491" ht="17.25" customHeight="1">
      <c r="H491" s="133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  <c r="AB491" s="211"/>
      <c r="AC491" s="211"/>
      <c r="AD491" s="211"/>
    </row>
    <row r="492" ht="17.25" customHeight="1">
      <c r="H492" s="133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  <c r="AB492" s="211"/>
      <c r="AC492" s="211"/>
      <c r="AD492" s="211"/>
    </row>
    <row r="493" ht="17.25" customHeight="1">
      <c r="H493" s="133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  <c r="AD493" s="211"/>
    </row>
    <row r="494" ht="17.25" customHeight="1">
      <c r="H494" s="133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  <c r="AB494" s="211"/>
      <c r="AC494" s="211"/>
      <c r="AD494" s="211"/>
    </row>
    <row r="495" ht="17.25" customHeight="1">
      <c r="H495" s="133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  <c r="AD495" s="211"/>
    </row>
    <row r="496" ht="17.25" customHeight="1">
      <c r="H496" s="133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  <c r="AD496" s="211"/>
    </row>
    <row r="497" ht="17.25" customHeight="1">
      <c r="H497" s="133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  <c r="AD497" s="211"/>
    </row>
    <row r="498" ht="17.25" customHeight="1">
      <c r="H498" s="133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11"/>
      <c r="AD498" s="211"/>
    </row>
    <row r="499" ht="17.25" customHeight="1">
      <c r="H499" s="133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11"/>
      <c r="AD499" s="211"/>
    </row>
    <row r="500" ht="17.25" customHeight="1">
      <c r="H500" s="133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11"/>
      <c r="AD500" s="211"/>
    </row>
    <row r="501" ht="17.25" customHeight="1">
      <c r="H501" s="133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A501" s="211"/>
      <c r="AB501" s="211"/>
      <c r="AC501" s="211"/>
      <c r="AD501" s="211"/>
    </row>
    <row r="502" ht="17.25" customHeight="1">
      <c r="H502" s="133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  <c r="AD502" s="211"/>
    </row>
    <row r="503" ht="17.25" customHeight="1">
      <c r="H503" s="133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  <c r="AD503" s="211"/>
    </row>
    <row r="504" ht="17.25" customHeight="1">
      <c r="H504" s="133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  <c r="AD504" s="211"/>
    </row>
    <row r="505" ht="17.25" customHeight="1">
      <c r="H505" s="133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  <c r="AD505" s="211"/>
    </row>
    <row r="506" ht="17.25" customHeight="1">
      <c r="H506" s="133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  <c r="AD506" s="211"/>
    </row>
    <row r="507" ht="17.25" customHeight="1">
      <c r="H507" s="133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  <c r="AD507" s="211"/>
    </row>
    <row r="508" ht="17.25" customHeight="1">
      <c r="H508" s="133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D508" s="211"/>
    </row>
    <row r="509" ht="17.25" customHeight="1">
      <c r="H509" s="133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D509" s="211"/>
    </row>
    <row r="510" ht="17.25" customHeight="1">
      <c r="H510" s="133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A510" s="211"/>
      <c r="AB510" s="211"/>
      <c r="AC510" s="211"/>
      <c r="AD510" s="211"/>
    </row>
    <row r="511" ht="17.25" customHeight="1">
      <c r="H511" s="133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  <c r="AD511" s="211"/>
    </row>
    <row r="512" ht="17.25" customHeight="1">
      <c r="H512" s="133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A512" s="211"/>
      <c r="AB512" s="211"/>
      <c r="AC512" s="211"/>
      <c r="AD512" s="211"/>
    </row>
    <row r="513" ht="17.25" customHeight="1">
      <c r="H513" s="133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A513" s="211"/>
      <c r="AB513" s="211"/>
      <c r="AC513" s="211"/>
      <c r="AD513" s="211"/>
    </row>
    <row r="514" ht="17.25" customHeight="1">
      <c r="H514" s="133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A514" s="211"/>
      <c r="AB514" s="211"/>
      <c r="AC514" s="211"/>
      <c r="AD514" s="211"/>
    </row>
    <row r="515" ht="17.25" customHeight="1">
      <c r="H515" s="133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A515" s="211"/>
      <c r="AB515" s="211"/>
      <c r="AC515" s="211"/>
      <c r="AD515" s="211"/>
    </row>
    <row r="516" ht="17.25" customHeight="1">
      <c r="H516" s="133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A516" s="211"/>
      <c r="AB516" s="211"/>
      <c r="AC516" s="211"/>
      <c r="AD516" s="211"/>
    </row>
    <row r="517" ht="17.25" customHeight="1">
      <c r="H517" s="133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  <c r="AD517" s="211"/>
    </row>
    <row r="518" ht="17.25" customHeight="1">
      <c r="H518" s="133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A518" s="211"/>
      <c r="AB518" s="211"/>
      <c r="AC518" s="211"/>
      <c r="AD518" s="211"/>
    </row>
    <row r="519" ht="17.25" customHeight="1">
      <c r="H519" s="133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A519" s="211"/>
      <c r="AB519" s="211"/>
      <c r="AC519" s="211"/>
      <c r="AD519" s="211"/>
    </row>
    <row r="520" ht="17.25" customHeight="1">
      <c r="H520" s="133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A520" s="211"/>
      <c r="AB520" s="211"/>
      <c r="AC520" s="211"/>
      <c r="AD520" s="211"/>
    </row>
    <row r="521" ht="17.25" customHeight="1">
      <c r="H521" s="133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A521" s="211"/>
      <c r="AB521" s="211"/>
      <c r="AC521" s="211"/>
      <c r="AD521" s="211"/>
    </row>
    <row r="522" ht="17.25" customHeight="1">
      <c r="H522" s="133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A522" s="211"/>
      <c r="AB522" s="211"/>
      <c r="AC522" s="211"/>
      <c r="AD522" s="211"/>
    </row>
    <row r="523" ht="17.25" customHeight="1">
      <c r="H523" s="133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  <c r="AD523" s="211"/>
    </row>
    <row r="524" ht="17.25" customHeight="1">
      <c r="H524" s="133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A524" s="211"/>
      <c r="AB524" s="211"/>
      <c r="AC524" s="211"/>
      <c r="AD524" s="211"/>
    </row>
    <row r="525" ht="17.25" customHeight="1">
      <c r="H525" s="133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A525" s="211"/>
      <c r="AB525" s="211"/>
      <c r="AC525" s="211"/>
      <c r="AD525" s="211"/>
    </row>
    <row r="526" ht="17.25" customHeight="1">
      <c r="H526" s="133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A526" s="211"/>
      <c r="AB526" s="211"/>
      <c r="AC526" s="211"/>
      <c r="AD526" s="211"/>
    </row>
    <row r="527" ht="17.25" customHeight="1">
      <c r="H527" s="133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A527" s="211"/>
      <c r="AB527" s="211"/>
      <c r="AC527" s="211"/>
      <c r="AD527" s="211"/>
    </row>
    <row r="528" ht="17.25" customHeight="1">
      <c r="H528" s="133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A528" s="211"/>
      <c r="AB528" s="211"/>
      <c r="AC528" s="211"/>
      <c r="AD528" s="211"/>
    </row>
    <row r="529" ht="17.25" customHeight="1">
      <c r="H529" s="133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A529" s="211"/>
      <c r="AB529" s="211"/>
      <c r="AC529" s="211"/>
      <c r="AD529" s="211"/>
    </row>
    <row r="530" ht="17.25" customHeight="1">
      <c r="H530" s="133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A530" s="211"/>
      <c r="AB530" s="211"/>
      <c r="AC530" s="211"/>
      <c r="AD530" s="211"/>
    </row>
    <row r="531" ht="17.25" customHeight="1">
      <c r="H531" s="133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A531" s="211"/>
      <c r="AB531" s="211"/>
      <c r="AC531" s="211"/>
      <c r="AD531" s="211"/>
    </row>
    <row r="532" ht="17.25" customHeight="1">
      <c r="H532" s="133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A532" s="211"/>
      <c r="AB532" s="211"/>
      <c r="AC532" s="211"/>
      <c r="AD532" s="211"/>
    </row>
    <row r="533" ht="17.25" customHeight="1">
      <c r="H533" s="133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A533" s="211"/>
      <c r="AB533" s="211"/>
      <c r="AC533" s="211"/>
      <c r="AD533" s="211"/>
    </row>
    <row r="534" ht="17.25" customHeight="1">
      <c r="H534" s="133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A534" s="211"/>
      <c r="AB534" s="211"/>
      <c r="AC534" s="211"/>
      <c r="AD534" s="211"/>
    </row>
    <row r="535" ht="17.25" customHeight="1">
      <c r="H535" s="133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A535" s="211"/>
      <c r="AB535" s="211"/>
      <c r="AC535" s="211"/>
      <c r="AD535" s="211"/>
    </row>
    <row r="536" ht="17.25" customHeight="1">
      <c r="H536" s="133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A536" s="211"/>
      <c r="AB536" s="211"/>
      <c r="AC536" s="211"/>
      <c r="AD536" s="211"/>
    </row>
    <row r="537" ht="17.25" customHeight="1">
      <c r="H537" s="133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A537" s="211"/>
      <c r="AB537" s="211"/>
      <c r="AC537" s="211"/>
      <c r="AD537" s="211"/>
    </row>
    <row r="538" ht="17.25" customHeight="1">
      <c r="H538" s="133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A538" s="211"/>
      <c r="AB538" s="211"/>
      <c r="AC538" s="211"/>
      <c r="AD538" s="211"/>
    </row>
    <row r="539" ht="17.25" customHeight="1">
      <c r="H539" s="133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A539" s="211"/>
      <c r="AB539" s="211"/>
      <c r="AC539" s="211"/>
      <c r="AD539" s="211"/>
    </row>
    <row r="540" ht="17.25" customHeight="1">
      <c r="H540" s="133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A540" s="211"/>
      <c r="AB540" s="211"/>
      <c r="AC540" s="211"/>
      <c r="AD540" s="211"/>
    </row>
    <row r="541" ht="17.25" customHeight="1">
      <c r="H541" s="133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A541" s="211"/>
      <c r="AB541" s="211"/>
      <c r="AC541" s="211"/>
      <c r="AD541" s="211"/>
    </row>
    <row r="542" ht="17.25" customHeight="1">
      <c r="H542" s="133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A542" s="211"/>
      <c r="AB542" s="211"/>
      <c r="AC542" s="211"/>
      <c r="AD542" s="211"/>
    </row>
    <row r="543" ht="17.25" customHeight="1">
      <c r="H543" s="133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A543" s="211"/>
      <c r="AB543" s="211"/>
      <c r="AC543" s="211"/>
      <c r="AD543" s="211"/>
    </row>
    <row r="544" ht="17.25" customHeight="1">
      <c r="H544" s="133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A544" s="211"/>
      <c r="AB544" s="211"/>
      <c r="AC544" s="211"/>
      <c r="AD544" s="211"/>
    </row>
    <row r="545" ht="17.25" customHeight="1">
      <c r="H545" s="133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A545" s="211"/>
      <c r="AB545" s="211"/>
      <c r="AC545" s="211"/>
      <c r="AD545" s="211"/>
    </row>
    <row r="546" ht="17.25" customHeight="1">
      <c r="H546" s="133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A546" s="211"/>
      <c r="AB546" s="211"/>
      <c r="AC546" s="211"/>
      <c r="AD546" s="211"/>
    </row>
    <row r="547" ht="17.25" customHeight="1">
      <c r="H547" s="133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A547" s="211"/>
      <c r="AB547" s="211"/>
      <c r="AC547" s="211"/>
      <c r="AD547" s="211"/>
    </row>
    <row r="548" ht="17.25" customHeight="1">
      <c r="H548" s="133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A548" s="211"/>
      <c r="AB548" s="211"/>
      <c r="AC548" s="211"/>
      <c r="AD548" s="211"/>
    </row>
    <row r="549" ht="17.25" customHeight="1">
      <c r="H549" s="133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A549" s="211"/>
      <c r="AB549" s="211"/>
      <c r="AC549" s="211"/>
      <c r="AD549" s="211"/>
    </row>
    <row r="550" ht="17.25" customHeight="1">
      <c r="H550" s="133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A550" s="211"/>
      <c r="AB550" s="211"/>
      <c r="AC550" s="211"/>
      <c r="AD550" s="211"/>
    </row>
    <row r="551" ht="17.25" customHeight="1">
      <c r="H551" s="133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A551" s="211"/>
      <c r="AB551" s="211"/>
      <c r="AC551" s="211"/>
      <c r="AD551" s="211"/>
    </row>
    <row r="552" ht="17.25" customHeight="1">
      <c r="H552" s="133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  <c r="AD552" s="211"/>
    </row>
    <row r="553" ht="17.25" customHeight="1">
      <c r="H553" s="133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  <c r="AD553" s="211"/>
    </row>
    <row r="554" ht="17.25" customHeight="1">
      <c r="H554" s="133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</row>
    <row r="555" ht="17.25" customHeight="1">
      <c r="H555" s="133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</row>
    <row r="556" ht="17.25" customHeight="1">
      <c r="H556" s="133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  <c r="AD556" s="211"/>
    </row>
    <row r="557" ht="17.25" customHeight="1">
      <c r="H557" s="133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11"/>
      <c r="AD557" s="211"/>
    </row>
    <row r="558" ht="17.25" customHeight="1">
      <c r="H558" s="133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11"/>
      <c r="AD558" s="211"/>
    </row>
    <row r="559" ht="17.25" customHeight="1">
      <c r="H559" s="133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11"/>
      <c r="AD559" s="211"/>
    </row>
    <row r="560" ht="17.25" customHeight="1">
      <c r="H560" s="133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A560" s="211"/>
      <c r="AB560" s="211"/>
      <c r="AC560" s="211"/>
      <c r="AD560" s="211"/>
    </row>
    <row r="561" ht="17.25" customHeight="1">
      <c r="H561" s="133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A561" s="211"/>
      <c r="AB561" s="211"/>
      <c r="AC561" s="211"/>
      <c r="AD561" s="211"/>
    </row>
    <row r="562" ht="17.25" customHeight="1">
      <c r="H562" s="133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A562" s="211"/>
      <c r="AB562" s="211"/>
      <c r="AC562" s="211"/>
      <c r="AD562" s="211"/>
    </row>
    <row r="563" ht="17.25" customHeight="1">
      <c r="H563" s="133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A563" s="211"/>
      <c r="AB563" s="211"/>
      <c r="AC563" s="211"/>
      <c r="AD563" s="211"/>
    </row>
    <row r="564" ht="17.25" customHeight="1">
      <c r="H564" s="133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A564" s="211"/>
      <c r="AB564" s="211"/>
      <c r="AC564" s="211"/>
      <c r="AD564" s="211"/>
    </row>
    <row r="565" ht="17.25" customHeight="1">
      <c r="H565" s="133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A565" s="211"/>
      <c r="AB565" s="211"/>
      <c r="AC565" s="211"/>
      <c r="AD565" s="211"/>
    </row>
    <row r="566" ht="17.25" customHeight="1">
      <c r="H566" s="133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A566" s="211"/>
      <c r="AB566" s="211"/>
      <c r="AC566" s="211"/>
      <c r="AD566" s="211"/>
    </row>
    <row r="567" ht="17.25" customHeight="1">
      <c r="H567" s="133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A567" s="211"/>
      <c r="AB567" s="211"/>
      <c r="AC567" s="211"/>
      <c r="AD567" s="211"/>
    </row>
    <row r="568" ht="17.25" customHeight="1">
      <c r="H568" s="133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A568" s="211"/>
      <c r="AB568" s="211"/>
      <c r="AC568" s="211"/>
      <c r="AD568" s="211"/>
    </row>
    <row r="569" ht="17.25" customHeight="1">
      <c r="H569" s="133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A569" s="211"/>
      <c r="AB569" s="211"/>
      <c r="AC569" s="211"/>
      <c r="AD569" s="211"/>
    </row>
    <row r="570" ht="17.25" customHeight="1">
      <c r="H570" s="133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A570" s="211"/>
      <c r="AB570" s="211"/>
      <c r="AC570" s="211"/>
      <c r="AD570" s="211"/>
    </row>
    <row r="571" ht="17.25" customHeight="1">
      <c r="H571" s="133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  <c r="AB571" s="211"/>
      <c r="AC571" s="211"/>
      <c r="AD571" s="211"/>
    </row>
    <row r="572" ht="17.25" customHeight="1">
      <c r="H572" s="133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A572" s="211"/>
      <c r="AB572" s="211"/>
      <c r="AC572" s="211"/>
      <c r="AD572" s="211"/>
    </row>
    <row r="573" ht="17.25" customHeight="1">
      <c r="H573" s="133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A573" s="211"/>
      <c r="AB573" s="211"/>
      <c r="AC573" s="211"/>
      <c r="AD573" s="211"/>
    </row>
    <row r="574" ht="17.25" customHeight="1">
      <c r="H574" s="133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A574" s="211"/>
      <c r="AB574" s="211"/>
      <c r="AC574" s="211"/>
      <c r="AD574" s="211"/>
    </row>
    <row r="575" ht="17.25" customHeight="1">
      <c r="H575" s="133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A575" s="211"/>
      <c r="AB575" s="211"/>
      <c r="AC575" s="211"/>
      <c r="AD575" s="211"/>
    </row>
    <row r="576" ht="17.25" customHeight="1">
      <c r="H576" s="133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A576" s="211"/>
      <c r="AB576" s="211"/>
      <c r="AC576" s="211"/>
      <c r="AD576" s="211"/>
    </row>
    <row r="577" ht="17.25" customHeight="1">
      <c r="H577" s="133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A577" s="211"/>
      <c r="AB577" s="211"/>
      <c r="AC577" s="211"/>
      <c r="AD577" s="211"/>
    </row>
    <row r="578" ht="17.25" customHeight="1">
      <c r="H578" s="133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A578" s="211"/>
      <c r="AB578" s="211"/>
      <c r="AC578" s="211"/>
      <c r="AD578" s="211"/>
    </row>
    <row r="579" ht="17.25" customHeight="1">
      <c r="H579" s="133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A579" s="211"/>
      <c r="AB579" s="211"/>
      <c r="AC579" s="211"/>
      <c r="AD579" s="211"/>
    </row>
    <row r="580" ht="17.25" customHeight="1">
      <c r="H580" s="133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A580" s="211"/>
      <c r="AB580" s="211"/>
      <c r="AC580" s="211"/>
      <c r="AD580" s="211"/>
    </row>
    <row r="581" ht="17.25" customHeight="1">
      <c r="H581" s="133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A581" s="211"/>
      <c r="AB581" s="211"/>
      <c r="AC581" s="211"/>
      <c r="AD581" s="211"/>
    </row>
    <row r="582" ht="17.25" customHeight="1">
      <c r="H582" s="133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A582" s="211"/>
      <c r="AB582" s="211"/>
      <c r="AC582" s="211"/>
      <c r="AD582" s="211"/>
    </row>
    <row r="583" ht="17.25" customHeight="1">
      <c r="H583" s="133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A583" s="211"/>
      <c r="AB583" s="211"/>
      <c r="AC583" s="211"/>
      <c r="AD583" s="211"/>
    </row>
    <row r="584" ht="17.25" customHeight="1">
      <c r="H584" s="133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A584" s="211"/>
      <c r="AB584" s="211"/>
      <c r="AC584" s="211"/>
      <c r="AD584" s="211"/>
    </row>
    <row r="585" ht="17.25" customHeight="1">
      <c r="H585" s="133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A585" s="211"/>
      <c r="AB585" s="211"/>
      <c r="AC585" s="211"/>
      <c r="AD585" s="211"/>
    </row>
    <row r="586" ht="17.25" customHeight="1">
      <c r="H586" s="133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A586" s="211"/>
      <c r="AB586" s="211"/>
      <c r="AC586" s="211"/>
      <c r="AD586" s="211"/>
    </row>
    <row r="587" ht="17.25" customHeight="1">
      <c r="H587" s="133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A587" s="211"/>
      <c r="AB587" s="211"/>
      <c r="AC587" s="211"/>
      <c r="AD587" s="211"/>
    </row>
    <row r="588" ht="17.25" customHeight="1">
      <c r="H588" s="133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A588" s="211"/>
      <c r="AB588" s="211"/>
      <c r="AC588" s="211"/>
      <c r="AD588" s="211"/>
    </row>
    <row r="589" ht="17.25" customHeight="1">
      <c r="H589" s="133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A589" s="211"/>
      <c r="AB589" s="211"/>
      <c r="AC589" s="211"/>
      <c r="AD589" s="211"/>
    </row>
    <row r="590" ht="17.25" customHeight="1">
      <c r="H590" s="133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A590" s="211"/>
      <c r="AB590" s="211"/>
      <c r="AC590" s="211"/>
      <c r="AD590" s="211"/>
    </row>
    <row r="591" ht="17.25" customHeight="1">
      <c r="H591" s="133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A591" s="211"/>
      <c r="AB591" s="211"/>
      <c r="AC591" s="211"/>
      <c r="AD591" s="211"/>
    </row>
    <row r="592" ht="17.25" customHeight="1">
      <c r="H592" s="133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A592" s="211"/>
      <c r="AB592" s="211"/>
      <c r="AC592" s="211"/>
      <c r="AD592" s="211"/>
    </row>
    <row r="593" ht="17.25" customHeight="1">
      <c r="H593" s="133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A593" s="211"/>
      <c r="AB593" s="211"/>
      <c r="AC593" s="211"/>
      <c r="AD593" s="211"/>
    </row>
    <row r="594" ht="17.25" customHeight="1">
      <c r="H594" s="133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A594" s="211"/>
      <c r="AB594" s="211"/>
      <c r="AC594" s="211"/>
      <c r="AD594" s="211"/>
    </row>
    <row r="595" ht="17.25" customHeight="1">
      <c r="H595" s="133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A595" s="211"/>
      <c r="AB595" s="211"/>
      <c r="AC595" s="211"/>
      <c r="AD595" s="211"/>
    </row>
    <row r="596" ht="17.25" customHeight="1">
      <c r="H596" s="133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A596" s="211"/>
      <c r="AB596" s="211"/>
      <c r="AC596" s="211"/>
      <c r="AD596" s="211"/>
    </row>
    <row r="597" ht="17.25" customHeight="1">
      <c r="H597" s="133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A597" s="211"/>
      <c r="AB597" s="211"/>
      <c r="AC597" s="211"/>
      <c r="AD597" s="211"/>
    </row>
    <row r="598" ht="17.25" customHeight="1">
      <c r="H598" s="133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A598" s="211"/>
      <c r="AB598" s="211"/>
      <c r="AC598" s="211"/>
      <c r="AD598" s="211"/>
    </row>
    <row r="599" ht="17.25" customHeight="1">
      <c r="H599" s="133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A599" s="211"/>
      <c r="AB599" s="211"/>
      <c r="AC599" s="211"/>
      <c r="AD599" s="211"/>
    </row>
    <row r="600" ht="17.25" customHeight="1">
      <c r="H600" s="133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A600" s="211"/>
      <c r="AB600" s="211"/>
      <c r="AC600" s="211"/>
      <c r="AD600" s="211"/>
    </row>
    <row r="601" ht="17.25" customHeight="1">
      <c r="H601" s="133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A601" s="211"/>
      <c r="AB601" s="211"/>
      <c r="AC601" s="211"/>
      <c r="AD601" s="211"/>
    </row>
    <row r="602" ht="17.25" customHeight="1">
      <c r="H602" s="133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A602" s="211"/>
      <c r="AB602" s="211"/>
      <c r="AC602" s="211"/>
      <c r="AD602" s="211"/>
    </row>
    <row r="603" ht="17.25" customHeight="1">
      <c r="H603" s="133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A603" s="211"/>
      <c r="AB603" s="211"/>
      <c r="AC603" s="211"/>
      <c r="AD603" s="211"/>
    </row>
    <row r="604" ht="17.25" customHeight="1">
      <c r="H604" s="133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A604" s="211"/>
      <c r="AB604" s="211"/>
      <c r="AC604" s="211"/>
      <c r="AD604" s="211"/>
    </row>
    <row r="605" ht="17.25" customHeight="1">
      <c r="H605" s="133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A605" s="211"/>
      <c r="AB605" s="211"/>
      <c r="AC605" s="211"/>
      <c r="AD605" s="211"/>
    </row>
    <row r="606" ht="17.25" customHeight="1">
      <c r="H606" s="133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A606" s="211"/>
      <c r="AB606" s="211"/>
      <c r="AC606" s="211"/>
      <c r="AD606" s="211"/>
    </row>
    <row r="607" ht="17.25" customHeight="1">
      <c r="H607" s="133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A607" s="211"/>
      <c r="AB607" s="211"/>
      <c r="AC607" s="211"/>
      <c r="AD607" s="211"/>
    </row>
    <row r="608" ht="17.25" customHeight="1">
      <c r="H608" s="133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A608" s="211"/>
      <c r="AB608" s="211"/>
      <c r="AC608" s="211"/>
      <c r="AD608" s="211"/>
    </row>
    <row r="609" ht="17.25" customHeight="1">
      <c r="H609" s="133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A609" s="211"/>
      <c r="AB609" s="211"/>
      <c r="AC609" s="211"/>
      <c r="AD609" s="211"/>
    </row>
    <row r="610" ht="17.25" customHeight="1">
      <c r="H610" s="133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  <c r="AD610" s="211"/>
    </row>
    <row r="611" ht="17.25" customHeight="1">
      <c r="H611" s="133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A611" s="211"/>
      <c r="AB611" s="211"/>
      <c r="AC611" s="211"/>
      <c r="AD611" s="211"/>
    </row>
    <row r="612" ht="17.25" customHeight="1">
      <c r="H612" s="133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A612" s="211"/>
      <c r="AB612" s="211"/>
      <c r="AC612" s="211"/>
      <c r="AD612" s="211"/>
    </row>
    <row r="613" ht="17.25" customHeight="1">
      <c r="H613" s="133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A613" s="211"/>
      <c r="AB613" s="211"/>
      <c r="AC613" s="211"/>
      <c r="AD613" s="211"/>
    </row>
    <row r="614" ht="17.25" customHeight="1">
      <c r="H614" s="133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A614" s="211"/>
      <c r="AB614" s="211"/>
      <c r="AC614" s="211"/>
      <c r="AD614" s="211"/>
    </row>
    <row r="615" ht="17.25" customHeight="1">
      <c r="H615" s="133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A615" s="211"/>
      <c r="AB615" s="211"/>
      <c r="AC615" s="211"/>
      <c r="AD615" s="211"/>
    </row>
    <row r="616" ht="17.25" customHeight="1">
      <c r="H616" s="133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A616" s="211"/>
      <c r="AB616" s="211"/>
      <c r="AC616" s="211"/>
      <c r="AD616" s="211"/>
    </row>
    <row r="617" ht="17.25" customHeight="1">
      <c r="H617" s="133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A617" s="211"/>
      <c r="AB617" s="211"/>
      <c r="AC617" s="211"/>
      <c r="AD617" s="211"/>
    </row>
    <row r="618" ht="17.25" customHeight="1">
      <c r="H618" s="133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A618" s="211"/>
      <c r="AB618" s="211"/>
      <c r="AC618" s="211"/>
      <c r="AD618" s="211"/>
    </row>
    <row r="619" ht="17.25" customHeight="1">
      <c r="H619" s="133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A619" s="211"/>
      <c r="AB619" s="211"/>
      <c r="AC619" s="211"/>
      <c r="AD619" s="211"/>
    </row>
    <row r="620" ht="17.25" customHeight="1">
      <c r="H620" s="133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A620" s="211"/>
      <c r="AB620" s="211"/>
      <c r="AC620" s="211"/>
      <c r="AD620" s="211"/>
    </row>
    <row r="621" ht="17.25" customHeight="1">
      <c r="H621" s="133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A621" s="211"/>
      <c r="AB621" s="211"/>
      <c r="AC621" s="211"/>
      <c r="AD621" s="211"/>
    </row>
    <row r="622" ht="17.25" customHeight="1">
      <c r="H622" s="133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A622" s="211"/>
      <c r="AB622" s="211"/>
      <c r="AC622" s="211"/>
      <c r="AD622" s="211"/>
    </row>
    <row r="623" ht="17.25" customHeight="1">
      <c r="H623" s="133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A623" s="211"/>
      <c r="AB623" s="211"/>
      <c r="AC623" s="211"/>
      <c r="AD623" s="211"/>
    </row>
    <row r="624" ht="17.25" customHeight="1">
      <c r="H624" s="133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A624" s="211"/>
      <c r="AB624" s="211"/>
      <c r="AC624" s="211"/>
      <c r="AD624" s="211"/>
    </row>
    <row r="625" ht="17.25" customHeight="1">
      <c r="H625" s="133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A625" s="211"/>
      <c r="AB625" s="211"/>
      <c r="AC625" s="211"/>
      <c r="AD625" s="211"/>
    </row>
    <row r="626" ht="17.25" customHeight="1">
      <c r="H626" s="133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A626" s="211"/>
      <c r="AB626" s="211"/>
      <c r="AC626" s="211"/>
      <c r="AD626" s="211"/>
    </row>
    <row r="627" ht="17.25" customHeight="1">
      <c r="H627" s="133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A627" s="211"/>
      <c r="AB627" s="211"/>
      <c r="AC627" s="211"/>
      <c r="AD627" s="211"/>
    </row>
    <row r="628" ht="17.25" customHeight="1">
      <c r="H628" s="133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A628" s="211"/>
      <c r="AB628" s="211"/>
      <c r="AC628" s="211"/>
      <c r="AD628" s="211"/>
    </row>
    <row r="629" ht="17.25" customHeight="1">
      <c r="H629" s="133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A629" s="211"/>
      <c r="AB629" s="211"/>
      <c r="AC629" s="211"/>
      <c r="AD629" s="211"/>
    </row>
    <row r="630" ht="17.25" customHeight="1">
      <c r="H630" s="133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A630" s="211"/>
      <c r="AB630" s="211"/>
      <c r="AC630" s="211"/>
      <c r="AD630" s="211"/>
    </row>
    <row r="631" ht="17.25" customHeight="1">
      <c r="H631" s="133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A631" s="211"/>
      <c r="AB631" s="211"/>
      <c r="AC631" s="211"/>
      <c r="AD631" s="211"/>
    </row>
    <row r="632" ht="17.25" customHeight="1">
      <c r="H632" s="133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A632" s="211"/>
      <c r="AB632" s="211"/>
      <c r="AC632" s="211"/>
      <c r="AD632" s="211"/>
    </row>
    <row r="633" ht="17.25" customHeight="1">
      <c r="H633" s="133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  <c r="AD633" s="211"/>
    </row>
    <row r="634" ht="17.25" customHeight="1">
      <c r="H634" s="133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A634" s="211"/>
      <c r="AB634" s="211"/>
      <c r="AC634" s="211"/>
      <c r="AD634" s="211"/>
    </row>
    <row r="635" ht="17.25" customHeight="1">
      <c r="H635" s="133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A635" s="211"/>
      <c r="AB635" s="211"/>
      <c r="AC635" s="211"/>
      <c r="AD635" s="211"/>
    </row>
    <row r="636" ht="17.25" customHeight="1">
      <c r="H636" s="133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A636" s="211"/>
      <c r="AB636" s="211"/>
      <c r="AC636" s="211"/>
      <c r="AD636" s="211"/>
    </row>
    <row r="637" ht="17.25" customHeight="1">
      <c r="H637" s="133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A637" s="211"/>
      <c r="AB637" s="211"/>
      <c r="AC637" s="211"/>
      <c r="AD637" s="211"/>
    </row>
    <row r="638" ht="17.25" customHeight="1">
      <c r="H638" s="133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A638" s="211"/>
      <c r="AB638" s="211"/>
      <c r="AC638" s="211"/>
      <c r="AD638" s="211"/>
    </row>
    <row r="639" ht="17.25" customHeight="1">
      <c r="H639" s="133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A639" s="211"/>
      <c r="AB639" s="211"/>
      <c r="AC639" s="211"/>
      <c r="AD639" s="211"/>
    </row>
    <row r="640" ht="17.25" customHeight="1">
      <c r="H640" s="133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A640" s="211"/>
      <c r="AB640" s="211"/>
      <c r="AC640" s="211"/>
      <c r="AD640" s="211"/>
    </row>
    <row r="641" ht="17.25" customHeight="1">
      <c r="H641" s="133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A641" s="211"/>
      <c r="AB641" s="211"/>
      <c r="AC641" s="211"/>
      <c r="AD641" s="211"/>
    </row>
    <row r="642" ht="17.25" customHeight="1">
      <c r="H642" s="133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A642" s="211"/>
      <c r="AB642" s="211"/>
      <c r="AC642" s="211"/>
      <c r="AD642" s="211"/>
    </row>
    <row r="643" ht="17.25" customHeight="1">
      <c r="H643" s="133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A643" s="211"/>
      <c r="AB643" s="211"/>
      <c r="AC643" s="211"/>
      <c r="AD643" s="211"/>
    </row>
    <row r="644" ht="17.25" customHeight="1">
      <c r="H644" s="133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A644" s="211"/>
      <c r="AB644" s="211"/>
      <c r="AC644" s="211"/>
      <c r="AD644" s="211"/>
    </row>
    <row r="645" ht="17.25" customHeight="1">
      <c r="H645" s="133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A645" s="211"/>
      <c r="AB645" s="211"/>
      <c r="AC645" s="211"/>
      <c r="AD645" s="211"/>
    </row>
    <row r="646" ht="17.25" customHeight="1">
      <c r="H646" s="133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A646" s="211"/>
      <c r="AB646" s="211"/>
      <c r="AC646" s="211"/>
      <c r="AD646" s="211"/>
    </row>
    <row r="647" ht="17.25" customHeight="1">
      <c r="H647" s="133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A647" s="211"/>
      <c r="AB647" s="211"/>
      <c r="AC647" s="211"/>
      <c r="AD647" s="211"/>
    </row>
    <row r="648" ht="17.25" customHeight="1">
      <c r="H648" s="133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A648" s="211"/>
      <c r="AB648" s="211"/>
      <c r="AC648" s="211"/>
      <c r="AD648" s="211"/>
    </row>
    <row r="649" ht="17.25" customHeight="1">
      <c r="H649" s="133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A649" s="211"/>
      <c r="AB649" s="211"/>
      <c r="AC649" s="211"/>
      <c r="AD649" s="211"/>
    </row>
    <row r="650" ht="17.25" customHeight="1">
      <c r="H650" s="133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A650" s="211"/>
      <c r="AB650" s="211"/>
      <c r="AC650" s="211"/>
      <c r="AD650" s="211"/>
    </row>
    <row r="651" ht="17.25" customHeight="1">
      <c r="H651" s="133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A651" s="211"/>
      <c r="AB651" s="211"/>
      <c r="AC651" s="211"/>
      <c r="AD651" s="211"/>
    </row>
    <row r="652" ht="17.25" customHeight="1">
      <c r="H652" s="133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A652" s="211"/>
      <c r="AB652" s="211"/>
      <c r="AC652" s="211"/>
      <c r="AD652" s="211"/>
    </row>
    <row r="653" ht="17.25" customHeight="1">
      <c r="H653" s="133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A653" s="211"/>
      <c r="AB653" s="211"/>
      <c r="AC653" s="211"/>
      <c r="AD653" s="211"/>
    </row>
    <row r="654" ht="17.25" customHeight="1">
      <c r="H654" s="133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A654" s="211"/>
      <c r="AB654" s="211"/>
      <c r="AC654" s="211"/>
      <c r="AD654" s="211"/>
    </row>
    <row r="655" ht="17.25" customHeight="1">
      <c r="H655" s="133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A655" s="211"/>
      <c r="AB655" s="211"/>
      <c r="AC655" s="211"/>
      <c r="AD655" s="211"/>
    </row>
    <row r="656" ht="17.25" customHeight="1">
      <c r="H656" s="133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A656" s="211"/>
      <c r="AB656" s="211"/>
      <c r="AC656" s="211"/>
      <c r="AD656" s="211"/>
    </row>
    <row r="657" ht="17.25" customHeight="1">
      <c r="H657" s="133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A657" s="211"/>
      <c r="AB657" s="211"/>
      <c r="AC657" s="211"/>
      <c r="AD657" s="211"/>
    </row>
    <row r="658" ht="17.25" customHeight="1">
      <c r="H658" s="133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  <c r="AD658" s="211"/>
    </row>
    <row r="659" ht="17.25" customHeight="1">
      <c r="H659" s="133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  <c r="AD659" s="211"/>
    </row>
    <row r="660" ht="17.25" customHeight="1">
      <c r="H660" s="133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  <c r="AD660" s="211"/>
    </row>
    <row r="661" ht="17.25" customHeight="1">
      <c r="H661" s="133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  <c r="AD661" s="211"/>
    </row>
    <row r="662" ht="17.25" customHeight="1">
      <c r="H662" s="133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  <c r="AD662" s="211"/>
    </row>
    <row r="663" ht="17.25" customHeight="1">
      <c r="H663" s="133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  <c r="AD663" s="211"/>
    </row>
    <row r="664" ht="17.25" customHeight="1">
      <c r="H664" s="133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  <c r="AD664" s="211"/>
    </row>
    <row r="665" ht="17.25" customHeight="1">
      <c r="H665" s="133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  <c r="AD665" s="211"/>
    </row>
    <row r="666" ht="17.25" customHeight="1">
      <c r="H666" s="133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  <c r="AD666" s="211"/>
    </row>
    <row r="667" ht="17.25" customHeight="1">
      <c r="H667" s="133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  <c r="AD667" s="211"/>
    </row>
    <row r="668" ht="17.25" customHeight="1">
      <c r="H668" s="133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  <c r="AD668" s="211"/>
    </row>
    <row r="669" ht="17.25" customHeight="1">
      <c r="H669" s="133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  <c r="AD669" s="211"/>
    </row>
    <row r="670" ht="17.25" customHeight="1">
      <c r="H670" s="133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  <c r="AD670" s="211"/>
    </row>
    <row r="671" ht="17.25" customHeight="1">
      <c r="H671" s="133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  <c r="AD671" s="211"/>
    </row>
    <row r="672" ht="17.25" customHeight="1">
      <c r="H672" s="133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  <c r="AD672" s="211"/>
    </row>
    <row r="673" ht="17.25" customHeight="1">
      <c r="H673" s="133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  <c r="AD673" s="211"/>
    </row>
    <row r="674" ht="17.25" customHeight="1">
      <c r="H674" s="133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  <c r="AD674" s="211"/>
    </row>
    <row r="675" ht="17.25" customHeight="1">
      <c r="H675" s="133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  <c r="AD675" s="211"/>
    </row>
    <row r="676" ht="17.25" customHeight="1">
      <c r="H676" s="133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  <c r="AD676" s="211"/>
    </row>
    <row r="677" ht="17.25" customHeight="1">
      <c r="H677" s="133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  <c r="AD677" s="211"/>
    </row>
    <row r="678" ht="17.25" customHeight="1">
      <c r="H678" s="133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  <c r="AD678" s="211"/>
    </row>
    <row r="679" ht="17.25" customHeight="1">
      <c r="H679" s="133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  <c r="AD679" s="211"/>
    </row>
    <row r="680" ht="17.25" customHeight="1">
      <c r="H680" s="133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  <c r="AD680" s="211"/>
    </row>
    <row r="681" ht="17.25" customHeight="1">
      <c r="H681" s="133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  <c r="AD681" s="211"/>
    </row>
    <row r="682" ht="17.25" customHeight="1">
      <c r="H682" s="133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  <c r="AD682" s="211"/>
    </row>
    <row r="683" ht="17.25" customHeight="1">
      <c r="H683" s="133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  <c r="AD683" s="211"/>
    </row>
    <row r="684" ht="17.25" customHeight="1">
      <c r="H684" s="133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  <c r="AD684" s="211"/>
    </row>
    <row r="685" ht="17.25" customHeight="1">
      <c r="H685" s="133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  <c r="AD685" s="211"/>
    </row>
    <row r="686" ht="17.25" customHeight="1">
      <c r="H686" s="133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  <c r="AD686" s="211"/>
    </row>
    <row r="687" ht="17.25" customHeight="1">
      <c r="H687" s="133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  <c r="AD687" s="211"/>
    </row>
    <row r="688" ht="17.25" customHeight="1">
      <c r="H688" s="133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  <c r="AD688" s="211"/>
    </row>
    <row r="689" ht="17.25" customHeight="1">
      <c r="H689" s="133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  <c r="AD689" s="211"/>
    </row>
    <row r="690" ht="17.25" customHeight="1">
      <c r="H690" s="133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  <c r="AD690" s="211"/>
    </row>
    <row r="691" ht="17.25" customHeight="1">
      <c r="H691" s="133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  <c r="AD691" s="211"/>
    </row>
    <row r="692" ht="17.25" customHeight="1">
      <c r="H692" s="133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  <c r="AD692" s="211"/>
    </row>
    <row r="693" ht="17.25" customHeight="1">
      <c r="H693" s="133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  <c r="AD693" s="211"/>
    </row>
    <row r="694" ht="17.25" customHeight="1">
      <c r="H694" s="133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  <c r="AD694" s="211"/>
    </row>
    <row r="695" ht="17.25" customHeight="1">
      <c r="H695" s="133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  <c r="AD695" s="211"/>
    </row>
    <row r="696" ht="17.25" customHeight="1">
      <c r="H696" s="133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  <c r="AD696" s="211"/>
    </row>
    <row r="697" ht="17.25" customHeight="1">
      <c r="H697" s="133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  <c r="AD697" s="211"/>
    </row>
    <row r="698" ht="17.25" customHeight="1">
      <c r="H698" s="133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  <c r="AD698" s="211"/>
    </row>
    <row r="699" ht="17.25" customHeight="1">
      <c r="H699" s="133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  <c r="AD699" s="211"/>
    </row>
    <row r="700" ht="17.25" customHeight="1">
      <c r="H700" s="133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  <c r="AD700" s="211"/>
    </row>
    <row r="701" ht="17.25" customHeight="1">
      <c r="H701" s="133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  <c r="AD701" s="211"/>
    </row>
    <row r="702" ht="17.25" customHeight="1">
      <c r="H702" s="133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  <c r="AD702" s="211"/>
    </row>
    <row r="703" ht="17.25" customHeight="1">
      <c r="H703" s="133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  <c r="AD703" s="211"/>
    </row>
    <row r="704" ht="17.25" customHeight="1">
      <c r="H704" s="133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  <c r="AD704" s="211"/>
    </row>
    <row r="705" ht="17.25" customHeight="1">
      <c r="H705" s="133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  <c r="AD705" s="211"/>
    </row>
    <row r="706" ht="17.25" customHeight="1">
      <c r="H706" s="133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  <c r="AD706" s="211"/>
    </row>
    <row r="707" ht="17.25" customHeight="1">
      <c r="H707" s="133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  <c r="AD707" s="211"/>
    </row>
    <row r="708" ht="17.25" customHeight="1">
      <c r="H708" s="133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  <c r="AD708" s="211"/>
    </row>
    <row r="709" ht="17.25" customHeight="1">
      <c r="H709" s="133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  <c r="AD709" s="211"/>
    </row>
    <row r="710" ht="17.25" customHeight="1">
      <c r="H710" s="133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  <c r="AD710" s="211"/>
    </row>
    <row r="711" ht="17.25" customHeight="1">
      <c r="H711" s="133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  <c r="AD711" s="211"/>
    </row>
    <row r="712" ht="17.25" customHeight="1">
      <c r="H712" s="133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  <c r="AD712" s="211"/>
    </row>
    <row r="713" ht="17.25" customHeight="1">
      <c r="H713" s="133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  <c r="AD713" s="211"/>
    </row>
    <row r="714" ht="17.25" customHeight="1">
      <c r="H714" s="133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  <c r="AD714" s="211"/>
    </row>
    <row r="715" ht="17.25" customHeight="1">
      <c r="H715" s="133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  <c r="AD715" s="211"/>
    </row>
    <row r="716" ht="17.25" customHeight="1">
      <c r="H716" s="133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  <c r="AD716" s="211"/>
    </row>
    <row r="717" ht="17.25" customHeight="1">
      <c r="H717" s="133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  <c r="AD717" s="211"/>
    </row>
    <row r="718" ht="17.25" customHeight="1">
      <c r="H718" s="133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  <c r="AD718" s="211"/>
    </row>
    <row r="719" ht="17.25" customHeight="1">
      <c r="H719" s="133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  <c r="AD719" s="211"/>
    </row>
    <row r="720" ht="17.25" customHeight="1">
      <c r="H720" s="133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  <c r="AD720" s="211"/>
    </row>
    <row r="721" ht="17.25" customHeight="1">
      <c r="H721" s="133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  <c r="AD721" s="211"/>
    </row>
    <row r="722" ht="17.25" customHeight="1">
      <c r="H722" s="133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  <c r="AD722" s="211"/>
    </row>
    <row r="723" ht="17.25" customHeight="1">
      <c r="H723" s="133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  <c r="AD723" s="211"/>
    </row>
    <row r="724" ht="17.25" customHeight="1">
      <c r="H724" s="133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  <c r="AD724" s="211"/>
    </row>
    <row r="725" ht="17.25" customHeight="1">
      <c r="H725" s="133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  <c r="AD725" s="211"/>
    </row>
    <row r="726" ht="17.25" customHeight="1">
      <c r="H726" s="133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  <c r="AD726" s="211"/>
    </row>
    <row r="727" ht="17.25" customHeight="1">
      <c r="H727" s="133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  <c r="AD727" s="211"/>
    </row>
    <row r="728" ht="17.25" customHeight="1">
      <c r="H728" s="133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  <c r="AD728" s="211"/>
    </row>
    <row r="729" ht="17.25" customHeight="1">
      <c r="H729" s="133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  <c r="AD729" s="211"/>
    </row>
    <row r="730" ht="17.25" customHeight="1">
      <c r="H730" s="133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  <c r="AD730" s="211"/>
    </row>
    <row r="731" ht="17.25" customHeight="1">
      <c r="H731" s="133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  <c r="AD731" s="211"/>
    </row>
    <row r="732" ht="17.25" customHeight="1">
      <c r="H732" s="133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  <c r="AD732" s="211"/>
    </row>
    <row r="733" ht="17.25" customHeight="1">
      <c r="H733" s="133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  <c r="AD733" s="211"/>
    </row>
    <row r="734" ht="17.25" customHeight="1">
      <c r="H734" s="133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  <c r="AD734" s="211"/>
    </row>
    <row r="735" ht="17.25" customHeight="1">
      <c r="H735" s="133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  <c r="AD735" s="211"/>
    </row>
    <row r="736" ht="17.25" customHeight="1">
      <c r="H736" s="133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  <c r="AD736" s="211"/>
    </row>
    <row r="737" ht="17.25" customHeight="1">
      <c r="H737" s="133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  <c r="AD737" s="211"/>
    </row>
    <row r="738" ht="17.25" customHeight="1">
      <c r="H738" s="133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  <c r="AD738" s="211"/>
    </row>
    <row r="739" ht="17.25" customHeight="1">
      <c r="H739" s="133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  <c r="AD739" s="211"/>
    </row>
    <row r="740" ht="17.25" customHeight="1">
      <c r="H740" s="133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  <c r="AD740" s="211"/>
    </row>
    <row r="741" ht="17.25" customHeight="1">
      <c r="H741" s="133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  <c r="AD741" s="211"/>
    </row>
    <row r="742" ht="17.25" customHeight="1">
      <c r="H742" s="133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  <c r="AD742" s="211"/>
    </row>
    <row r="743" ht="17.25" customHeight="1">
      <c r="H743" s="133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  <c r="AD743" s="211"/>
    </row>
    <row r="744" ht="17.25" customHeight="1">
      <c r="H744" s="133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  <c r="AD744" s="211"/>
    </row>
    <row r="745" ht="17.25" customHeight="1">
      <c r="H745" s="133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  <c r="AD745" s="211"/>
    </row>
    <row r="746" ht="17.25" customHeight="1">
      <c r="H746" s="133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  <c r="AD746" s="211"/>
    </row>
    <row r="747" ht="17.25" customHeight="1">
      <c r="H747" s="133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  <c r="AD747" s="211"/>
    </row>
    <row r="748" ht="17.25" customHeight="1">
      <c r="H748" s="133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  <c r="AD748" s="211"/>
    </row>
    <row r="749" ht="17.25" customHeight="1">
      <c r="H749" s="133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  <c r="AD749" s="211"/>
    </row>
    <row r="750" ht="17.25" customHeight="1">
      <c r="H750" s="133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  <c r="AD750" s="211"/>
    </row>
    <row r="751" ht="17.25" customHeight="1">
      <c r="H751" s="133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  <c r="AD751" s="211"/>
    </row>
    <row r="752" ht="17.25" customHeight="1">
      <c r="H752" s="133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  <c r="AD752" s="211"/>
    </row>
    <row r="753" ht="17.25" customHeight="1">
      <c r="H753" s="133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  <c r="AD753" s="211"/>
    </row>
    <row r="754" ht="17.25" customHeight="1">
      <c r="H754" s="133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  <c r="AD754" s="211"/>
    </row>
    <row r="755" ht="17.25" customHeight="1">
      <c r="H755" s="133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  <c r="AD755" s="211"/>
    </row>
    <row r="756" ht="17.25" customHeight="1">
      <c r="H756" s="133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  <c r="AD756" s="211"/>
    </row>
    <row r="757" ht="17.25" customHeight="1">
      <c r="H757" s="133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  <c r="AD757" s="211"/>
    </row>
    <row r="758" ht="17.25" customHeight="1">
      <c r="H758" s="133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  <c r="AD758" s="211"/>
    </row>
    <row r="759" ht="17.25" customHeight="1">
      <c r="H759" s="133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  <c r="AD759" s="211"/>
    </row>
    <row r="760" ht="17.25" customHeight="1">
      <c r="H760" s="133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  <c r="AD760" s="211"/>
    </row>
    <row r="761" ht="17.25" customHeight="1">
      <c r="H761" s="133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  <c r="AD761" s="211"/>
    </row>
    <row r="762" ht="17.25" customHeight="1">
      <c r="H762" s="133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  <c r="AD762" s="211"/>
    </row>
    <row r="763" ht="17.25" customHeight="1">
      <c r="H763" s="133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  <c r="AD763" s="211"/>
    </row>
    <row r="764" ht="17.25" customHeight="1">
      <c r="H764" s="133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  <c r="AD764" s="211"/>
    </row>
    <row r="765" ht="17.25" customHeight="1">
      <c r="H765" s="133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  <c r="AD765" s="211"/>
    </row>
    <row r="766" ht="17.25" customHeight="1">
      <c r="H766" s="133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  <c r="AD766" s="211"/>
    </row>
    <row r="767" ht="17.25" customHeight="1">
      <c r="H767" s="133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  <c r="AD767" s="211"/>
    </row>
    <row r="768" ht="17.25" customHeight="1">
      <c r="H768" s="133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  <c r="AD768" s="211"/>
    </row>
    <row r="769" ht="17.25" customHeight="1">
      <c r="H769" s="133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  <c r="AD769" s="211"/>
    </row>
    <row r="770" ht="17.25" customHeight="1">
      <c r="H770" s="133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  <c r="AD770" s="211"/>
    </row>
    <row r="771" ht="17.25" customHeight="1">
      <c r="H771" s="133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  <c r="AD771" s="211"/>
    </row>
    <row r="772" ht="17.25" customHeight="1">
      <c r="H772" s="133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  <c r="AD772" s="211"/>
    </row>
    <row r="773" ht="17.25" customHeight="1">
      <c r="H773" s="133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  <c r="AD773" s="211"/>
    </row>
    <row r="774" ht="17.25" customHeight="1">
      <c r="H774" s="133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  <c r="AD774" s="211"/>
    </row>
    <row r="775" ht="17.25" customHeight="1">
      <c r="H775" s="133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  <c r="AD775" s="211"/>
    </row>
    <row r="776" ht="17.25" customHeight="1">
      <c r="H776" s="133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  <c r="AD776" s="211"/>
    </row>
    <row r="777" ht="17.25" customHeight="1">
      <c r="H777" s="133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  <c r="AD777" s="211"/>
    </row>
    <row r="778" ht="17.25" customHeight="1">
      <c r="H778" s="133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  <c r="AD778" s="211"/>
    </row>
    <row r="779" ht="17.25" customHeight="1">
      <c r="H779" s="133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  <c r="AD779" s="211"/>
    </row>
    <row r="780" ht="17.25" customHeight="1">
      <c r="H780" s="133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  <c r="AD780" s="211"/>
    </row>
    <row r="781" ht="17.25" customHeight="1">
      <c r="H781" s="133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  <c r="AD781" s="211"/>
    </row>
    <row r="782" ht="17.25" customHeight="1">
      <c r="H782" s="133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  <c r="AD782" s="211"/>
    </row>
    <row r="783" ht="17.25" customHeight="1">
      <c r="H783" s="133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  <c r="AD783" s="211"/>
    </row>
    <row r="784" ht="17.25" customHeight="1">
      <c r="H784" s="133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  <c r="AD784" s="211"/>
    </row>
    <row r="785" ht="17.25" customHeight="1">
      <c r="H785" s="133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  <c r="AD785" s="211"/>
    </row>
    <row r="786" ht="17.25" customHeight="1">
      <c r="H786" s="133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  <c r="AD786" s="211"/>
    </row>
    <row r="787" ht="17.25" customHeight="1">
      <c r="H787" s="133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  <c r="AD787" s="211"/>
    </row>
    <row r="788" ht="17.25" customHeight="1">
      <c r="H788" s="133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  <c r="AD788" s="211"/>
    </row>
    <row r="789" ht="17.25" customHeight="1">
      <c r="H789" s="133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  <c r="AD789" s="211"/>
    </row>
    <row r="790" ht="17.25" customHeight="1">
      <c r="H790" s="133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  <c r="AD790" s="211"/>
    </row>
    <row r="791" ht="17.25" customHeight="1">
      <c r="H791" s="133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  <c r="AD791" s="211"/>
    </row>
    <row r="792" ht="17.25" customHeight="1">
      <c r="H792" s="133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  <c r="AD792" s="211"/>
    </row>
    <row r="793" ht="17.25" customHeight="1">
      <c r="H793" s="133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  <c r="AD793" s="211"/>
    </row>
    <row r="794" ht="17.25" customHeight="1">
      <c r="H794" s="133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  <c r="AD794" s="211"/>
    </row>
    <row r="795" ht="17.25" customHeight="1">
      <c r="H795" s="133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  <c r="AD795" s="211"/>
    </row>
    <row r="796" ht="17.25" customHeight="1">
      <c r="H796" s="133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  <c r="AD796" s="211"/>
    </row>
    <row r="797" ht="17.25" customHeight="1">
      <c r="H797" s="133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  <c r="AD797" s="211"/>
    </row>
    <row r="798" ht="17.25" customHeight="1">
      <c r="H798" s="133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  <c r="AD798" s="211"/>
    </row>
    <row r="799" ht="17.25" customHeight="1">
      <c r="H799" s="133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  <c r="AD799" s="211"/>
    </row>
    <row r="800" ht="17.25" customHeight="1">
      <c r="H800" s="133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  <c r="AD800" s="211"/>
    </row>
    <row r="801" ht="17.25" customHeight="1">
      <c r="H801" s="133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  <c r="AD801" s="211"/>
    </row>
    <row r="802" ht="17.25" customHeight="1">
      <c r="H802" s="133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  <c r="AD802" s="211"/>
    </row>
    <row r="803" ht="17.25" customHeight="1">
      <c r="H803" s="133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  <c r="AD803" s="211"/>
    </row>
    <row r="804" ht="17.25" customHeight="1">
      <c r="H804" s="133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  <c r="AD804" s="211"/>
    </row>
    <row r="805" ht="17.25" customHeight="1">
      <c r="H805" s="133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  <c r="AD805" s="211"/>
    </row>
    <row r="806" ht="17.25" customHeight="1">
      <c r="H806" s="133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  <c r="AD806" s="211"/>
    </row>
    <row r="807" ht="17.25" customHeight="1">
      <c r="H807" s="133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  <c r="AD807" s="211"/>
    </row>
    <row r="808" ht="17.25" customHeight="1">
      <c r="H808" s="133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  <c r="AD808" s="211"/>
    </row>
    <row r="809" ht="17.25" customHeight="1">
      <c r="H809" s="133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  <c r="AD809" s="211"/>
    </row>
    <row r="810" ht="17.25" customHeight="1">
      <c r="H810" s="133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  <c r="AD810" s="211"/>
    </row>
    <row r="811" ht="17.25" customHeight="1">
      <c r="H811" s="133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  <c r="AD811" s="211"/>
    </row>
    <row r="812" ht="17.25" customHeight="1">
      <c r="H812" s="133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  <c r="AD812" s="211"/>
    </row>
    <row r="813" ht="17.25" customHeight="1">
      <c r="H813" s="133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  <c r="AD813" s="211"/>
    </row>
    <row r="814" ht="17.25" customHeight="1">
      <c r="H814" s="133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  <c r="AD814" s="211"/>
    </row>
    <row r="815" ht="17.25" customHeight="1">
      <c r="H815" s="133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  <c r="AD815" s="211"/>
    </row>
    <row r="816" ht="17.25" customHeight="1">
      <c r="H816" s="133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  <c r="AD816" s="211"/>
    </row>
    <row r="817" ht="17.25" customHeight="1">
      <c r="H817" s="133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  <c r="AD817" s="211"/>
    </row>
    <row r="818" ht="17.25" customHeight="1">
      <c r="H818" s="133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  <c r="AD818" s="211"/>
    </row>
    <row r="819" ht="17.25" customHeight="1">
      <c r="H819" s="133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  <c r="AD819" s="211"/>
    </row>
    <row r="820" ht="17.25" customHeight="1">
      <c r="H820" s="133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  <c r="AD820" s="211"/>
    </row>
    <row r="821" ht="17.25" customHeight="1">
      <c r="H821" s="133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  <c r="AD821" s="211"/>
    </row>
    <row r="822" ht="17.25" customHeight="1">
      <c r="H822" s="133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  <c r="AD822" s="211"/>
    </row>
    <row r="823" ht="17.25" customHeight="1">
      <c r="H823" s="133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  <c r="AD823" s="211"/>
    </row>
    <row r="824" ht="17.25" customHeight="1">
      <c r="H824" s="133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  <c r="AD824" s="211"/>
    </row>
    <row r="825" ht="17.25" customHeight="1">
      <c r="H825" s="133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  <c r="AD825" s="211"/>
    </row>
    <row r="826" ht="17.25" customHeight="1">
      <c r="H826" s="133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  <c r="AD826" s="211"/>
    </row>
    <row r="827" ht="17.25" customHeight="1">
      <c r="H827" s="133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  <c r="AD827" s="211"/>
    </row>
    <row r="828" ht="17.25" customHeight="1">
      <c r="H828" s="133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  <c r="AD828" s="211"/>
    </row>
    <row r="829" ht="17.25" customHeight="1">
      <c r="H829" s="133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  <c r="AD829" s="211"/>
    </row>
    <row r="830" ht="17.25" customHeight="1">
      <c r="H830" s="133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  <c r="AD830" s="211"/>
    </row>
    <row r="831" ht="17.25" customHeight="1">
      <c r="H831" s="133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  <c r="AD831" s="211"/>
    </row>
    <row r="832" ht="17.25" customHeight="1">
      <c r="H832" s="133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  <c r="AD832" s="211"/>
    </row>
    <row r="833" ht="17.25" customHeight="1">
      <c r="H833" s="133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  <c r="AD833" s="211"/>
    </row>
    <row r="834" ht="17.25" customHeight="1">
      <c r="H834" s="133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  <c r="AD834" s="211"/>
    </row>
    <row r="835" ht="17.25" customHeight="1">
      <c r="H835" s="133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  <c r="AD835" s="211"/>
    </row>
    <row r="836" ht="17.25" customHeight="1">
      <c r="H836" s="133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  <c r="AD836" s="211"/>
    </row>
    <row r="837" ht="17.25" customHeight="1">
      <c r="H837" s="133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  <c r="AD837" s="211"/>
    </row>
    <row r="838" ht="17.25" customHeight="1">
      <c r="H838" s="133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  <c r="AD838" s="211"/>
    </row>
    <row r="839" ht="17.25" customHeight="1">
      <c r="H839" s="133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  <c r="AD839" s="211"/>
    </row>
    <row r="840" ht="17.25" customHeight="1">
      <c r="H840" s="133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  <c r="AD840" s="211"/>
    </row>
    <row r="841" ht="17.25" customHeight="1">
      <c r="H841" s="133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  <c r="AD841" s="211"/>
    </row>
    <row r="842" ht="17.25" customHeight="1">
      <c r="H842" s="133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  <c r="AD842" s="211"/>
    </row>
    <row r="843" ht="17.25" customHeight="1">
      <c r="H843" s="133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  <c r="AD843" s="211"/>
    </row>
    <row r="844" ht="17.25" customHeight="1">
      <c r="H844" s="133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  <c r="AD844" s="211"/>
    </row>
    <row r="845" ht="17.25" customHeight="1">
      <c r="H845" s="133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  <c r="AD845" s="211"/>
    </row>
    <row r="846" ht="17.25" customHeight="1">
      <c r="H846" s="133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  <c r="AD846" s="211"/>
    </row>
    <row r="847" ht="17.25" customHeight="1">
      <c r="H847" s="133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  <c r="AD847" s="211"/>
    </row>
    <row r="848" ht="17.25" customHeight="1">
      <c r="H848" s="133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  <c r="AD848" s="211"/>
    </row>
    <row r="849" ht="17.25" customHeight="1">
      <c r="H849" s="133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  <c r="AD849" s="211"/>
    </row>
    <row r="850" ht="17.25" customHeight="1">
      <c r="H850" s="133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  <c r="AD850" s="211"/>
    </row>
    <row r="851" ht="17.25" customHeight="1">
      <c r="H851" s="133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  <c r="AD851" s="211"/>
    </row>
    <row r="852" ht="17.25" customHeight="1">
      <c r="H852" s="133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  <c r="AD852" s="211"/>
    </row>
    <row r="853" ht="17.25" customHeight="1">
      <c r="H853" s="133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  <c r="AD853" s="211"/>
    </row>
    <row r="854" ht="17.25" customHeight="1">
      <c r="H854" s="133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  <c r="AD854" s="211"/>
    </row>
    <row r="855" ht="17.25" customHeight="1">
      <c r="H855" s="133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  <c r="AD855" s="211"/>
    </row>
    <row r="856" ht="17.25" customHeight="1">
      <c r="H856" s="133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  <c r="AD856" s="211"/>
    </row>
    <row r="857" ht="17.25" customHeight="1">
      <c r="H857" s="133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  <c r="AD857" s="211"/>
    </row>
    <row r="858" ht="17.25" customHeight="1">
      <c r="H858" s="133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  <c r="AC858" s="211"/>
      <c r="AD858" s="211"/>
    </row>
    <row r="859" ht="17.25" customHeight="1">
      <c r="H859" s="133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  <c r="AC859" s="211"/>
      <c r="AD859" s="211"/>
    </row>
    <row r="860" ht="17.25" customHeight="1">
      <c r="H860" s="133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  <c r="AC860" s="211"/>
      <c r="AD860" s="211"/>
    </row>
    <row r="861" ht="17.25" customHeight="1">
      <c r="H861" s="133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  <c r="AC861" s="211"/>
      <c r="AD861" s="211"/>
    </row>
    <row r="862" ht="17.25" customHeight="1">
      <c r="H862" s="133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  <c r="AC862" s="211"/>
      <c r="AD862" s="211"/>
    </row>
    <row r="863" ht="17.25" customHeight="1">
      <c r="H863" s="133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  <c r="AC863" s="211"/>
      <c r="AD863" s="211"/>
    </row>
    <row r="864" ht="17.25" customHeight="1">
      <c r="H864" s="133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  <c r="AC864" s="211"/>
      <c r="AD864" s="211"/>
    </row>
    <row r="865" ht="17.25" customHeight="1">
      <c r="H865" s="133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  <c r="AC865" s="211"/>
      <c r="AD865" s="211"/>
    </row>
    <row r="866" ht="17.25" customHeight="1">
      <c r="H866" s="133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  <c r="AD866" s="211"/>
    </row>
    <row r="867" ht="17.25" customHeight="1">
      <c r="H867" s="133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  <c r="AC867" s="211"/>
      <c r="AD867" s="211"/>
    </row>
    <row r="868" ht="17.25" customHeight="1">
      <c r="H868" s="133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  <c r="AC868" s="211"/>
      <c r="AD868" s="211"/>
    </row>
    <row r="869" ht="17.25" customHeight="1">
      <c r="H869" s="133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  <c r="AC869" s="211"/>
      <c r="AD869" s="211"/>
    </row>
    <row r="870" ht="17.25" customHeight="1">
      <c r="H870" s="133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  <c r="AC870" s="211"/>
      <c r="AD870" s="211"/>
    </row>
    <row r="871" ht="17.25" customHeight="1">
      <c r="H871" s="133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  <c r="AC871" s="211"/>
      <c r="AD871" s="211"/>
    </row>
    <row r="872" ht="17.25" customHeight="1">
      <c r="H872" s="133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  <c r="AC872" s="211"/>
      <c r="AD872" s="211"/>
    </row>
    <row r="873" ht="17.25" customHeight="1">
      <c r="H873" s="133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  <c r="AC873" s="211"/>
      <c r="AD873" s="211"/>
    </row>
    <row r="874" ht="17.25" customHeight="1">
      <c r="H874" s="133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  <c r="AC874" s="211"/>
      <c r="AD874" s="211"/>
    </row>
    <row r="875" ht="17.25" customHeight="1">
      <c r="H875" s="133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  <c r="AC875" s="211"/>
      <c r="AD875" s="211"/>
    </row>
    <row r="876" ht="17.25" customHeight="1">
      <c r="H876" s="133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  <c r="AC876" s="211"/>
      <c r="AD876" s="211"/>
    </row>
    <row r="877" ht="17.25" customHeight="1">
      <c r="H877" s="133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  <c r="AC877" s="211"/>
      <c r="AD877" s="211"/>
    </row>
    <row r="878" ht="17.25" customHeight="1">
      <c r="H878" s="133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  <c r="AC878" s="211"/>
      <c r="AD878" s="211"/>
    </row>
    <row r="879" ht="17.25" customHeight="1">
      <c r="H879" s="133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  <c r="AC879" s="211"/>
      <c r="AD879" s="211"/>
    </row>
    <row r="880" ht="17.25" customHeight="1">
      <c r="H880" s="133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  <c r="AC880" s="211"/>
      <c r="AD880" s="211"/>
    </row>
    <row r="881" ht="17.25" customHeight="1">
      <c r="H881" s="133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  <c r="AC881" s="211"/>
      <c r="AD881" s="211"/>
    </row>
    <row r="882" ht="17.25" customHeight="1">
      <c r="H882" s="133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  <c r="AC882" s="211"/>
      <c r="AD882" s="211"/>
    </row>
    <row r="883" ht="17.25" customHeight="1">
      <c r="H883" s="133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  <c r="AC883" s="211"/>
      <c r="AD883" s="211"/>
    </row>
    <row r="884" ht="17.25" customHeight="1">
      <c r="H884" s="133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  <c r="AC884" s="211"/>
      <c r="AD884" s="211"/>
    </row>
    <row r="885" ht="17.25" customHeight="1">
      <c r="H885" s="133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  <c r="AD885" s="211"/>
    </row>
    <row r="886" ht="17.25" customHeight="1">
      <c r="H886" s="133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  <c r="AD886" s="211"/>
    </row>
    <row r="887" ht="17.25" customHeight="1">
      <c r="H887" s="133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</row>
    <row r="888" ht="17.25" customHeight="1">
      <c r="H888" s="133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  <c r="AD888" s="211"/>
    </row>
    <row r="889" ht="17.25" customHeight="1">
      <c r="H889" s="133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  <c r="AD889" s="211"/>
    </row>
    <row r="890" ht="17.25" customHeight="1">
      <c r="H890" s="133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  <c r="AD890" s="211"/>
    </row>
    <row r="891" ht="17.25" customHeight="1">
      <c r="H891" s="133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  <c r="AC891" s="211"/>
      <c r="AD891" s="211"/>
    </row>
    <row r="892" ht="17.25" customHeight="1">
      <c r="H892" s="133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  <c r="AC892" s="211"/>
      <c r="AD892" s="211"/>
    </row>
    <row r="893" ht="17.25" customHeight="1">
      <c r="H893" s="133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  <c r="AC893" s="211"/>
      <c r="AD893" s="211"/>
    </row>
    <row r="894" ht="17.25" customHeight="1">
      <c r="H894" s="133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  <c r="AC894" s="211"/>
      <c r="AD894" s="211"/>
    </row>
    <row r="895" ht="17.25" customHeight="1">
      <c r="H895" s="133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  <c r="AC895" s="211"/>
      <c r="AD895" s="211"/>
    </row>
    <row r="896" ht="17.25" customHeight="1">
      <c r="H896" s="133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  <c r="AC896" s="211"/>
      <c r="AD896" s="211"/>
    </row>
    <row r="897" ht="17.25" customHeight="1">
      <c r="H897" s="133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  <c r="AC897" s="211"/>
      <c r="AD897" s="211"/>
    </row>
    <row r="898" ht="17.25" customHeight="1">
      <c r="H898" s="133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  <c r="AC898" s="211"/>
      <c r="AD898" s="211"/>
    </row>
    <row r="899" ht="17.25" customHeight="1">
      <c r="H899" s="133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  <c r="AC899" s="211"/>
      <c r="AD899" s="211"/>
    </row>
    <row r="900" ht="17.25" customHeight="1">
      <c r="H900" s="133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A900" s="211"/>
      <c r="AB900" s="211"/>
      <c r="AC900" s="211"/>
      <c r="AD900" s="211"/>
    </row>
    <row r="901" ht="17.25" customHeight="1">
      <c r="H901" s="133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A901" s="211"/>
      <c r="AB901" s="211"/>
      <c r="AC901" s="211"/>
      <c r="AD901" s="211"/>
    </row>
    <row r="902" ht="17.25" customHeight="1">
      <c r="H902" s="133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A902" s="211"/>
      <c r="AB902" s="211"/>
      <c r="AC902" s="211"/>
      <c r="AD902" s="211"/>
    </row>
    <row r="903" ht="17.25" customHeight="1">
      <c r="H903" s="133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A903" s="211"/>
      <c r="AB903" s="211"/>
      <c r="AC903" s="211"/>
      <c r="AD903" s="211"/>
    </row>
    <row r="904" ht="17.25" customHeight="1">
      <c r="H904" s="133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A904" s="211"/>
      <c r="AB904" s="211"/>
      <c r="AC904" s="211"/>
      <c r="AD904" s="211"/>
    </row>
    <row r="905" ht="17.25" customHeight="1">
      <c r="H905" s="133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A905" s="211"/>
      <c r="AB905" s="211"/>
      <c r="AC905" s="211"/>
      <c r="AD905" s="211"/>
    </row>
    <row r="906" ht="17.25" customHeight="1">
      <c r="H906" s="133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A906" s="211"/>
      <c r="AB906" s="211"/>
      <c r="AC906" s="211"/>
      <c r="AD906" s="211"/>
    </row>
    <row r="907" ht="17.25" customHeight="1">
      <c r="H907" s="133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A907" s="211"/>
      <c r="AB907" s="211"/>
      <c r="AC907" s="211"/>
      <c r="AD907" s="211"/>
    </row>
    <row r="908" ht="17.25" customHeight="1">
      <c r="H908" s="133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A908" s="211"/>
      <c r="AB908" s="211"/>
      <c r="AC908" s="211"/>
      <c r="AD908" s="211"/>
    </row>
    <row r="909" ht="17.25" customHeight="1">
      <c r="H909" s="133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A909" s="211"/>
      <c r="AB909" s="211"/>
      <c r="AC909" s="211"/>
      <c r="AD909" s="211"/>
    </row>
    <row r="910" ht="17.25" customHeight="1">
      <c r="H910" s="133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A910" s="211"/>
      <c r="AB910" s="211"/>
      <c r="AC910" s="211"/>
      <c r="AD910" s="211"/>
    </row>
    <row r="911" ht="17.25" customHeight="1">
      <c r="H911" s="133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A911" s="211"/>
      <c r="AB911" s="211"/>
      <c r="AC911" s="211"/>
      <c r="AD911" s="211"/>
    </row>
    <row r="912" ht="17.25" customHeight="1">
      <c r="H912" s="133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A912" s="211"/>
      <c r="AB912" s="211"/>
      <c r="AC912" s="211"/>
      <c r="AD912" s="211"/>
    </row>
    <row r="913" ht="17.25" customHeight="1">
      <c r="H913" s="133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A913" s="211"/>
      <c r="AB913" s="211"/>
      <c r="AC913" s="211"/>
      <c r="AD913" s="211"/>
    </row>
    <row r="914" ht="17.25" customHeight="1">
      <c r="H914" s="133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A914" s="211"/>
      <c r="AB914" s="211"/>
      <c r="AC914" s="211"/>
      <c r="AD914" s="211"/>
    </row>
    <row r="915" ht="17.25" customHeight="1">
      <c r="H915" s="133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A915" s="211"/>
      <c r="AB915" s="211"/>
      <c r="AC915" s="211"/>
      <c r="AD915" s="211"/>
    </row>
    <row r="916" ht="17.25" customHeight="1">
      <c r="H916" s="133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A916" s="211"/>
      <c r="AB916" s="211"/>
      <c r="AC916" s="211"/>
      <c r="AD916" s="211"/>
    </row>
    <row r="917" ht="17.25" customHeight="1">
      <c r="H917" s="133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A917" s="211"/>
      <c r="AB917" s="211"/>
      <c r="AC917" s="211"/>
      <c r="AD917" s="211"/>
    </row>
    <row r="918" ht="17.25" customHeight="1">
      <c r="H918" s="133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A918" s="211"/>
      <c r="AB918" s="211"/>
      <c r="AC918" s="211"/>
      <c r="AD918" s="211"/>
    </row>
    <row r="919" ht="17.25" customHeight="1">
      <c r="H919" s="133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A919" s="211"/>
      <c r="AB919" s="211"/>
      <c r="AC919" s="211"/>
      <c r="AD919" s="211"/>
    </row>
    <row r="920" ht="17.25" customHeight="1">
      <c r="H920" s="133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A920" s="211"/>
      <c r="AB920" s="211"/>
      <c r="AC920" s="211"/>
      <c r="AD920" s="211"/>
    </row>
    <row r="921" ht="17.25" customHeight="1">
      <c r="H921" s="133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A921" s="211"/>
      <c r="AB921" s="211"/>
      <c r="AC921" s="211"/>
      <c r="AD921" s="211"/>
    </row>
    <row r="922" ht="17.25" customHeight="1">
      <c r="H922" s="133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A922" s="211"/>
      <c r="AB922" s="211"/>
      <c r="AC922" s="211"/>
      <c r="AD922" s="211"/>
    </row>
    <row r="923" ht="17.25" customHeight="1">
      <c r="H923" s="133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A923" s="211"/>
      <c r="AB923" s="211"/>
      <c r="AC923" s="211"/>
      <c r="AD923" s="211"/>
    </row>
    <row r="924" ht="17.25" customHeight="1">
      <c r="H924" s="133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A924" s="211"/>
      <c r="AB924" s="211"/>
      <c r="AC924" s="211"/>
      <c r="AD924" s="211"/>
    </row>
    <row r="925" ht="17.25" customHeight="1">
      <c r="H925" s="133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A925" s="211"/>
      <c r="AB925" s="211"/>
      <c r="AC925" s="211"/>
      <c r="AD925" s="211"/>
    </row>
    <row r="926" ht="17.25" customHeight="1">
      <c r="H926" s="133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A926" s="211"/>
      <c r="AB926" s="211"/>
      <c r="AC926" s="211"/>
      <c r="AD926" s="211"/>
    </row>
    <row r="927" ht="17.25" customHeight="1">
      <c r="H927" s="133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A927" s="211"/>
      <c r="AB927" s="211"/>
      <c r="AC927" s="211"/>
      <c r="AD927" s="211"/>
    </row>
    <row r="928" ht="17.25" customHeight="1">
      <c r="H928" s="133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A928" s="211"/>
      <c r="AB928" s="211"/>
      <c r="AC928" s="211"/>
      <c r="AD928" s="211"/>
    </row>
    <row r="929" ht="17.25" customHeight="1">
      <c r="H929" s="133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A929" s="211"/>
      <c r="AB929" s="211"/>
      <c r="AC929" s="211"/>
      <c r="AD929" s="211"/>
    </row>
    <row r="930" ht="17.25" customHeight="1">
      <c r="H930" s="133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A930" s="211"/>
      <c r="AB930" s="211"/>
      <c r="AC930" s="211"/>
      <c r="AD930" s="211"/>
    </row>
    <row r="931" ht="17.25" customHeight="1">
      <c r="H931" s="133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A931" s="211"/>
      <c r="AB931" s="211"/>
      <c r="AC931" s="211"/>
      <c r="AD931" s="211"/>
    </row>
    <row r="932" ht="17.25" customHeight="1">
      <c r="H932" s="133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A932" s="211"/>
      <c r="AB932" s="211"/>
      <c r="AC932" s="211"/>
      <c r="AD932" s="211"/>
    </row>
    <row r="933" ht="17.25" customHeight="1">
      <c r="H933" s="133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A933" s="211"/>
      <c r="AB933" s="211"/>
      <c r="AC933" s="211"/>
      <c r="AD933" s="211"/>
    </row>
    <row r="934" ht="17.25" customHeight="1">
      <c r="H934" s="133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A934" s="211"/>
      <c r="AB934" s="211"/>
      <c r="AC934" s="211"/>
      <c r="AD934" s="211"/>
    </row>
    <row r="935" ht="17.25" customHeight="1">
      <c r="H935" s="133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A935" s="211"/>
      <c r="AB935" s="211"/>
      <c r="AC935" s="211"/>
      <c r="AD935" s="211"/>
    </row>
    <row r="936" ht="17.25" customHeight="1">
      <c r="H936" s="133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A936" s="211"/>
      <c r="AB936" s="211"/>
      <c r="AC936" s="211"/>
      <c r="AD936" s="211"/>
    </row>
    <row r="937" ht="17.25" customHeight="1">
      <c r="H937" s="133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A937" s="211"/>
      <c r="AB937" s="211"/>
      <c r="AC937" s="211"/>
      <c r="AD937" s="211"/>
    </row>
    <row r="938" ht="17.25" customHeight="1">
      <c r="H938" s="133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A938" s="211"/>
      <c r="AB938" s="211"/>
      <c r="AC938" s="211"/>
      <c r="AD938" s="211"/>
    </row>
    <row r="939" ht="17.25" customHeight="1">
      <c r="H939" s="133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A939" s="211"/>
      <c r="AB939" s="211"/>
      <c r="AC939" s="211"/>
      <c r="AD939" s="211"/>
    </row>
    <row r="940" ht="17.25" customHeight="1">
      <c r="H940" s="133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A940" s="211"/>
      <c r="AB940" s="211"/>
      <c r="AC940" s="211"/>
      <c r="AD940" s="211"/>
    </row>
    <row r="941" ht="17.25" customHeight="1">
      <c r="H941" s="133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A941" s="211"/>
      <c r="AB941" s="211"/>
      <c r="AC941" s="211"/>
      <c r="AD941" s="211"/>
    </row>
    <row r="942" ht="17.25" customHeight="1">
      <c r="H942" s="133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A942" s="211"/>
      <c r="AB942" s="211"/>
      <c r="AC942" s="211"/>
      <c r="AD942" s="211"/>
    </row>
    <row r="943" ht="17.25" customHeight="1">
      <c r="H943" s="133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A943" s="211"/>
      <c r="AB943" s="211"/>
      <c r="AC943" s="211"/>
      <c r="AD943" s="211"/>
    </row>
    <row r="944" ht="17.25" customHeight="1">
      <c r="H944" s="133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A944" s="211"/>
      <c r="AB944" s="211"/>
      <c r="AC944" s="211"/>
      <c r="AD944" s="211"/>
    </row>
    <row r="945" ht="17.25" customHeight="1">
      <c r="H945" s="133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A945" s="211"/>
      <c r="AB945" s="211"/>
      <c r="AC945" s="211"/>
      <c r="AD945" s="211"/>
    </row>
    <row r="946" ht="17.25" customHeight="1">
      <c r="H946" s="133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A946" s="211"/>
      <c r="AB946" s="211"/>
      <c r="AC946" s="211"/>
      <c r="AD946" s="211"/>
    </row>
    <row r="947" ht="17.25" customHeight="1">
      <c r="H947" s="133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A947" s="211"/>
      <c r="AB947" s="211"/>
      <c r="AC947" s="211"/>
      <c r="AD947" s="211"/>
    </row>
    <row r="948" ht="17.25" customHeight="1">
      <c r="H948" s="133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A948" s="211"/>
      <c r="AB948" s="211"/>
      <c r="AC948" s="211"/>
      <c r="AD948" s="211"/>
    </row>
    <row r="949" ht="17.25" customHeight="1">
      <c r="H949" s="133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A949" s="211"/>
      <c r="AB949" s="211"/>
      <c r="AC949" s="211"/>
      <c r="AD949" s="211"/>
    </row>
    <row r="950" ht="17.25" customHeight="1">
      <c r="H950" s="133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A950" s="211"/>
      <c r="AB950" s="211"/>
      <c r="AC950" s="211"/>
      <c r="AD950" s="211"/>
    </row>
    <row r="951" ht="17.25" customHeight="1">
      <c r="H951" s="133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A951" s="211"/>
      <c r="AB951" s="211"/>
      <c r="AC951" s="211"/>
      <c r="AD951" s="211"/>
    </row>
    <row r="952" ht="17.25" customHeight="1">
      <c r="H952" s="133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A952" s="211"/>
      <c r="AB952" s="211"/>
      <c r="AC952" s="211"/>
      <c r="AD952" s="211"/>
    </row>
    <row r="953" ht="17.25" customHeight="1">
      <c r="H953" s="133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A953" s="211"/>
      <c r="AB953" s="211"/>
      <c r="AC953" s="211"/>
      <c r="AD953" s="211"/>
    </row>
    <row r="954" ht="17.25" customHeight="1">
      <c r="H954" s="133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A954" s="211"/>
      <c r="AB954" s="211"/>
      <c r="AC954" s="211"/>
      <c r="AD954" s="211"/>
    </row>
    <row r="955" ht="17.25" customHeight="1">
      <c r="H955" s="133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A955" s="211"/>
      <c r="AB955" s="211"/>
      <c r="AC955" s="211"/>
      <c r="AD955" s="211"/>
    </row>
    <row r="956" ht="17.25" customHeight="1">
      <c r="H956" s="133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A956" s="211"/>
      <c r="AB956" s="211"/>
      <c r="AC956" s="211"/>
      <c r="AD956" s="211"/>
    </row>
    <row r="957" ht="17.25" customHeight="1">
      <c r="H957" s="133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A957" s="211"/>
      <c r="AB957" s="211"/>
      <c r="AC957" s="211"/>
      <c r="AD957" s="211"/>
    </row>
    <row r="958" ht="17.25" customHeight="1">
      <c r="H958" s="133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A958" s="211"/>
      <c r="AB958" s="211"/>
      <c r="AC958" s="211"/>
      <c r="AD958" s="211"/>
    </row>
    <row r="959" ht="17.25" customHeight="1">
      <c r="H959" s="133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A959" s="211"/>
      <c r="AB959" s="211"/>
      <c r="AC959" s="211"/>
      <c r="AD959" s="211"/>
    </row>
    <row r="960" ht="17.25" customHeight="1">
      <c r="H960" s="133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A960" s="211"/>
      <c r="AB960" s="211"/>
      <c r="AC960" s="211"/>
      <c r="AD960" s="211"/>
    </row>
    <row r="961" ht="17.25" customHeight="1">
      <c r="H961" s="133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A961" s="211"/>
      <c r="AB961" s="211"/>
      <c r="AC961" s="211"/>
      <c r="AD961" s="211"/>
    </row>
    <row r="962" ht="17.25" customHeight="1">
      <c r="H962" s="133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A962" s="211"/>
      <c r="AB962" s="211"/>
      <c r="AC962" s="211"/>
      <c r="AD962" s="211"/>
    </row>
    <row r="963" ht="17.25" customHeight="1">
      <c r="H963" s="133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A963" s="211"/>
      <c r="AB963" s="211"/>
      <c r="AC963" s="211"/>
      <c r="AD963" s="211"/>
    </row>
    <row r="964" ht="17.25" customHeight="1">
      <c r="H964" s="133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A964" s="211"/>
      <c r="AB964" s="211"/>
      <c r="AC964" s="211"/>
      <c r="AD964" s="211"/>
    </row>
    <row r="965" ht="17.25" customHeight="1">
      <c r="H965" s="133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A965" s="211"/>
      <c r="AB965" s="211"/>
      <c r="AC965" s="211"/>
      <c r="AD965" s="211"/>
    </row>
    <row r="966" ht="17.25" customHeight="1">
      <c r="H966" s="133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A966" s="211"/>
      <c r="AB966" s="211"/>
      <c r="AC966" s="211"/>
      <c r="AD966" s="211"/>
    </row>
    <row r="967" ht="17.25" customHeight="1">
      <c r="H967" s="133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A967" s="211"/>
      <c r="AB967" s="211"/>
      <c r="AC967" s="211"/>
      <c r="AD967" s="211"/>
    </row>
    <row r="968" ht="17.25" customHeight="1">
      <c r="H968" s="133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A968" s="211"/>
      <c r="AB968" s="211"/>
      <c r="AC968" s="211"/>
      <c r="AD968" s="211"/>
    </row>
    <row r="969" ht="17.25" customHeight="1">
      <c r="H969" s="133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A969" s="211"/>
      <c r="AB969" s="211"/>
      <c r="AC969" s="211"/>
      <c r="AD969" s="211"/>
    </row>
    <row r="970" ht="17.25" customHeight="1">
      <c r="H970" s="133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A970" s="211"/>
      <c r="AB970" s="211"/>
      <c r="AC970" s="211"/>
      <c r="AD970" s="211"/>
    </row>
    <row r="971" ht="17.25" customHeight="1">
      <c r="H971" s="133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A971" s="211"/>
      <c r="AB971" s="211"/>
      <c r="AC971" s="211"/>
      <c r="AD971" s="211"/>
    </row>
    <row r="972" ht="17.25" customHeight="1">
      <c r="H972" s="133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A972" s="211"/>
      <c r="AB972" s="211"/>
      <c r="AC972" s="211"/>
      <c r="AD972" s="211"/>
    </row>
    <row r="973" ht="17.25" customHeight="1">
      <c r="H973" s="133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A973" s="211"/>
      <c r="AB973" s="211"/>
      <c r="AC973" s="211"/>
      <c r="AD973" s="211"/>
    </row>
    <row r="974" ht="17.25" customHeight="1">
      <c r="H974" s="133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A974" s="211"/>
      <c r="AB974" s="211"/>
      <c r="AC974" s="211"/>
      <c r="AD974" s="211"/>
    </row>
    <row r="975" ht="17.25" customHeight="1">
      <c r="H975" s="133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A975" s="211"/>
      <c r="AB975" s="211"/>
      <c r="AC975" s="211"/>
      <c r="AD975" s="211"/>
    </row>
    <row r="976" ht="17.25" customHeight="1">
      <c r="H976" s="133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A976" s="211"/>
      <c r="AB976" s="211"/>
      <c r="AC976" s="211"/>
      <c r="AD976" s="211"/>
    </row>
    <row r="977" ht="17.25" customHeight="1">
      <c r="H977" s="133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A977" s="211"/>
      <c r="AB977" s="211"/>
      <c r="AC977" s="211"/>
      <c r="AD977" s="211"/>
    </row>
    <row r="978" ht="17.25" customHeight="1">
      <c r="H978" s="133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A978" s="211"/>
      <c r="AB978" s="211"/>
      <c r="AC978" s="211"/>
      <c r="AD978" s="211"/>
    </row>
    <row r="979" ht="17.25" customHeight="1">
      <c r="H979" s="133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A979" s="211"/>
      <c r="AB979" s="211"/>
      <c r="AC979" s="211"/>
      <c r="AD979" s="211"/>
    </row>
    <row r="980" ht="17.25" customHeight="1">
      <c r="H980" s="133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A980" s="211"/>
      <c r="AB980" s="211"/>
      <c r="AC980" s="211"/>
      <c r="AD980" s="211"/>
    </row>
    <row r="981" ht="17.25" customHeight="1">
      <c r="H981" s="133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A981" s="211"/>
      <c r="AB981" s="211"/>
      <c r="AC981" s="211"/>
      <c r="AD981" s="211"/>
    </row>
    <row r="982" ht="17.25" customHeight="1">
      <c r="H982" s="133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A982" s="211"/>
      <c r="AB982" s="211"/>
      <c r="AC982" s="211"/>
      <c r="AD982" s="211"/>
    </row>
    <row r="983" ht="17.25" customHeight="1">
      <c r="H983" s="133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A983" s="211"/>
      <c r="AB983" s="211"/>
      <c r="AC983" s="211"/>
      <c r="AD983" s="211"/>
    </row>
    <row r="984" ht="17.25" customHeight="1">
      <c r="H984" s="133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A984" s="211"/>
      <c r="AB984" s="211"/>
      <c r="AC984" s="211"/>
      <c r="AD984" s="211"/>
    </row>
    <row r="985" ht="17.25" customHeight="1">
      <c r="H985" s="133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A985" s="211"/>
      <c r="AB985" s="211"/>
      <c r="AC985" s="211"/>
      <c r="AD985" s="211"/>
    </row>
    <row r="986" ht="17.25" customHeight="1">
      <c r="H986" s="133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A986" s="211"/>
      <c r="AB986" s="211"/>
      <c r="AC986" s="211"/>
      <c r="AD986" s="211"/>
    </row>
    <row r="987" ht="17.25" customHeight="1">
      <c r="H987" s="133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  <c r="AA987" s="211"/>
      <c r="AB987" s="211"/>
      <c r="AC987" s="211"/>
      <c r="AD987" s="211"/>
    </row>
    <row r="988" ht="17.25" customHeight="1">
      <c r="H988" s="133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  <c r="AA988" s="211"/>
      <c r="AB988" s="211"/>
      <c r="AC988" s="211"/>
      <c r="AD988" s="211"/>
    </row>
    <row r="989" ht="17.25" customHeight="1">
      <c r="H989" s="133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  <c r="AA989" s="211"/>
      <c r="AB989" s="211"/>
      <c r="AC989" s="211"/>
      <c r="AD989" s="211"/>
    </row>
    <row r="990" ht="17.25" customHeight="1">
      <c r="H990" s="133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  <c r="AA990" s="211"/>
      <c r="AB990" s="211"/>
      <c r="AC990" s="211"/>
      <c r="AD990" s="211"/>
    </row>
    <row r="991" ht="17.25" customHeight="1">
      <c r="H991" s="133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  <c r="AA991" s="211"/>
      <c r="AB991" s="211"/>
      <c r="AC991" s="211"/>
      <c r="AD991" s="211"/>
    </row>
    <row r="992" ht="17.25" customHeight="1">
      <c r="H992" s="133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  <c r="AA992" s="211"/>
      <c r="AB992" s="211"/>
      <c r="AC992" s="211"/>
      <c r="AD992" s="211"/>
    </row>
    <row r="993" ht="17.25" customHeight="1">
      <c r="H993" s="133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  <c r="AA993" s="211"/>
      <c r="AB993" s="211"/>
      <c r="AC993" s="211"/>
      <c r="AD993" s="211"/>
    </row>
    <row r="994" ht="17.25" customHeight="1">
      <c r="H994" s="133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  <c r="AA994" s="211"/>
      <c r="AB994" s="211"/>
      <c r="AC994" s="211"/>
      <c r="AD994" s="211"/>
    </row>
    <row r="995" ht="17.25" customHeight="1">
      <c r="H995" s="133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  <c r="AA995" s="211"/>
      <c r="AB995" s="211"/>
      <c r="AC995" s="211"/>
      <c r="AD995" s="211"/>
    </row>
    <row r="996" ht="17.25" customHeight="1">
      <c r="H996" s="133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  <c r="AA996" s="211"/>
      <c r="AB996" s="211"/>
      <c r="AC996" s="211"/>
      <c r="AD996" s="211"/>
    </row>
    <row r="997" ht="17.25" customHeight="1">
      <c r="H997" s="133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  <c r="AA997" s="211"/>
      <c r="AB997" s="211"/>
      <c r="AC997" s="211"/>
      <c r="AD997" s="211"/>
    </row>
    <row r="998" ht="17.25" customHeight="1">
      <c r="H998" s="133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  <c r="AA998" s="211"/>
      <c r="AB998" s="211"/>
      <c r="AC998" s="211"/>
      <c r="AD998" s="211"/>
    </row>
    <row r="999" ht="17.25" customHeight="1">
      <c r="H999" s="133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  <c r="AA999" s="211"/>
      <c r="AB999" s="211"/>
      <c r="AC999" s="211"/>
      <c r="AD999" s="211"/>
    </row>
    <row r="1000" ht="17.25" customHeight="1">
      <c r="H1000" s="133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  <c r="AA1000" s="211"/>
      <c r="AB1000" s="211"/>
      <c r="AC1000" s="211"/>
      <c r="AD1000" s="211"/>
    </row>
    <row r="1001" ht="17.25" customHeight="1">
      <c r="H1001" s="133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1"/>
      <c r="X1001" s="211"/>
      <c r="Y1001" s="211"/>
      <c r="Z1001" s="211"/>
      <c r="AA1001" s="211"/>
      <c r="AB1001" s="211"/>
      <c r="AC1001" s="211"/>
      <c r="AD1001" s="211"/>
    </row>
    <row r="1002" ht="17.25" customHeight="1">
      <c r="H1002" s="133"/>
      <c r="L1002" s="211"/>
      <c r="M1002" s="211"/>
      <c r="N1002" s="211"/>
      <c r="O1002" s="211"/>
      <c r="P1002" s="211"/>
      <c r="Q1002" s="211"/>
      <c r="R1002" s="211"/>
      <c r="S1002" s="211"/>
      <c r="T1002" s="211"/>
      <c r="U1002" s="211"/>
      <c r="V1002" s="211"/>
      <c r="W1002" s="211"/>
      <c r="X1002" s="211"/>
      <c r="Y1002" s="211"/>
      <c r="Z1002" s="211"/>
      <c r="AA1002" s="211"/>
      <c r="AB1002" s="211"/>
      <c r="AC1002" s="211"/>
      <c r="AD1002" s="211"/>
    </row>
    <row r="1003" ht="17.25" customHeight="1">
      <c r="H1003" s="133"/>
      <c r="L1003" s="211"/>
      <c r="M1003" s="211"/>
      <c r="N1003" s="211"/>
      <c r="O1003" s="211"/>
      <c r="P1003" s="211"/>
      <c r="Q1003" s="211"/>
      <c r="R1003" s="211"/>
      <c r="S1003" s="211"/>
      <c r="T1003" s="211"/>
      <c r="U1003" s="211"/>
      <c r="V1003" s="211"/>
      <c r="W1003" s="211"/>
      <c r="X1003" s="211"/>
      <c r="Y1003" s="211"/>
      <c r="Z1003" s="211"/>
      <c r="AA1003" s="211"/>
      <c r="AB1003" s="211"/>
      <c r="AC1003" s="211"/>
      <c r="AD1003" s="211"/>
    </row>
    <row r="1004" ht="17.25" customHeight="1">
      <c r="H1004" s="133"/>
      <c r="L1004" s="211"/>
      <c r="M1004" s="211"/>
      <c r="N1004" s="211"/>
      <c r="O1004" s="211"/>
      <c r="P1004" s="211"/>
      <c r="Q1004" s="211"/>
      <c r="R1004" s="211"/>
      <c r="S1004" s="211"/>
      <c r="T1004" s="211"/>
      <c r="U1004" s="211"/>
      <c r="V1004" s="211"/>
      <c r="W1004" s="211"/>
      <c r="X1004" s="211"/>
      <c r="Y1004" s="211"/>
      <c r="Z1004" s="211"/>
      <c r="AA1004" s="211"/>
      <c r="AB1004" s="211"/>
      <c r="AC1004" s="211"/>
      <c r="AD1004" s="211"/>
    </row>
    <row r="1005" ht="17.25" customHeight="1">
      <c r="H1005" s="133"/>
      <c r="L1005" s="211"/>
      <c r="M1005" s="211"/>
      <c r="N1005" s="211"/>
      <c r="O1005" s="211"/>
      <c r="P1005" s="211"/>
      <c r="Q1005" s="211"/>
      <c r="R1005" s="211"/>
      <c r="S1005" s="211"/>
      <c r="T1005" s="211"/>
      <c r="U1005" s="211"/>
      <c r="V1005" s="211"/>
      <c r="W1005" s="211"/>
      <c r="X1005" s="211"/>
      <c r="Y1005" s="211"/>
      <c r="Z1005" s="211"/>
      <c r="AA1005" s="211"/>
      <c r="AB1005" s="211"/>
      <c r="AC1005" s="211"/>
      <c r="AD1005" s="211"/>
    </row>
    <row r="1006" ht="17.25" customHeight="1">
      <c r="H1006" s="133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A1006" s="211"/>
      <c r="AB1006" s="211"/>
      <c r="AC1006" s="211"/>
      <c r="AD1006" s="211"/>
    </row>
    <row r="1007" ht="17.25" customHeight="1">
      <c r="H1007" s="133"/>
      <c r="L1007" s="211"/>
      <c r="M1007" s="211"/>
      <c r="N1007" s="211"/>
      <c r="O1007" s="211"/>
      <c r="P1007" s="211"/>
      <c r="Q1007" s="211"/>
      <c r="R1007" s="211"/>
      <c r="S1007" s="211"/>
      <c r="T1007" s="211"/>
      <c r="U1007" s="211"/>
      <c r="V1007" s="211"/>
      <c r="W1007" s="211"/>
      <c r="X1007" s="211"/>
      <c r="Y1007" s="211"/>
      <c r="Z1007" s="211"/>
      <c r="AA1007" s="211"/>
      <c r="AB1007" s="211"/>
      <c r="AC1007" s="211"/>
      <c r="AD1007" s="211"/>
    </row>
    <row r="1008" ht="17.25" customHeight="1">
      <c r="H1008" s="133"/>
      <c r="L1008" s="211"/>
      <c r="M1008" s="211"/>
      <c r="N1008" s="211"/>
      <c r="O1008" s="211"/>
      <c r="P1008" s="211"/>
      <c r="Q1008" s="211"/>
      <c r="R1008" s="211"/>
      <c r="S1008" s="211"/>
      <c r="T1008" s="211"/>
      <c r="U1008" s="211"/>
      <c r="V1008" s="211"/>
      <c r="W1008" s="211"/>
      <c r="X1008" s="211"/>
      <c r="Y1008" s="211"/>
      <c r="Z1008" s="211"/>
      <c r="AA1008" s="211"/>
      <c r="AB1008" s="211"/>
      <c r="AC1008" s="211"/>
      <c r="AD1008" s="211"/>
    </row>
    <row r="1009" ht="17.25" customHeight="1">
      <c r="H1009" s="133"/>
      <c r="L1009" s="211"/>
      <c r="M1009" s="211"/>
      <c r="N1009" s="211"/>
      <c r="O1009" s="211"/>
      <c r="P1009" s="211"/>
      <c r="Q1009" s="211"/>
      <c r="R1009" s="211"/>
      <c r="S1009" s="211"/>
      <c r="T1009" s="211"/>
      <c r="U1009" s="211"/>
      <c r="V1009" s="211"/>
      <c r="W1009" s="211"/>
      <c r="X1009" s="211"/>
      <c r="Y1009" s="211"/>
      <c r="Z1009" s="211"/>
      <c r="AA1009" s="211"/>
      <c r="AB1009" s="211"/>
      <c r="AC1009" s="211"/>
      <c r="AD1009" s="211"/>
    </row>
    <row r="1010" ht="17.25" customHeight="1">
      <c r="H1010" s="133"/>
      <c r="L1010" s="211"/>
      <c r="M1010" s="211"/>
      <c r="N1010" s="211"/>
      <c r="O1010" s="211"/>
      <c r="P1010" s="211"/>
      <c r="Q1010" s="211"/>
      <c r="R1010" s="211"/>
      <c r="S1010" s="211"/>
      <c r="T1010" s="211"/>
      <c r="U1010" s="211"/>
      <c r="V1010" s="211"/>
      <c r="W1010" s="211"/>
      <c r="X1010" s="211"/>
      <c r="Y1010" s="211"/>
      <c r="Z1010" s="211"/>
      <c r="AA1010" s="211"/>
      <c r="AB1010" s="211"/>
      <c r="AC1010" s="211"/>
      <c r="AD1010" s="211"/>
    </row>
    <row r="1011" ht="17.25" customHeight="1">
      <c r="H1011" s="133"/>
      <c r="L1011" s="211"/>
      <c r="M1011" s="211"/>
      <c r="N1011" s="211"/>
      <c r="O1011" s="211"/>
      <c r="P1011" s="211"/>
      <c r="Q1011" s="211"/>
      <c r="R1011" s="211"/>
      <c r="S1011" s="211"/>
      <c r="T1011" s="211"/>
      <c r="U1011" s="211"/>
      <c r="V1011" s="211"/>
      <c r="W1011" s="211"/>
      <c r="X1011" s="211"/>
      <c r="Y1011" s="211"/>
      <c r="Z1011" s="211"/>
      <c r="AA1011" s="211"/>
      <c r="AB1011" s="211"/>
      <c r="AC1011" s="211"/>
      <c r="AD1011" s="211"/>
    </row>
    <row r="1012" ht="17.25" customHeight="1">
      <c r="H1012" s="133"/>
      <c r="L1012" s="211"/>
      <c r="M1012" s="211"/>
      <c r="N1012" s="211"/>
      <c r="O1012" s="211"/>
      <c r="P1012" s="211"/>
      <c r="Q1012" s="211"/>
      <c r="R1012" s="211"/>
      <c r="S1012" s="211"/>
      <c r="T1012" s="211"/>
      <c r="U1012" s="211"/>
      <c r="V1012" s="211"/>
      <c r="W1012" s="211"/>
      <c r="X1012" s="211"/>
      <c r="Y1012" s="211"/>
      <c r="Z1012" s="211"/>
      <c r="AA1012" s="211"/>
      <c r="AB1012" s="211"/>
      <c r="AC1012" s="211"/>
      <c r="AD1012" s="211"/>
    </row>
    <row r="1013" ht="17.25" customHeight="1">
      <c r="H1013" s="133"/>
      <c r="L1013" s="211"/>
      <c r="M1013" s="211"/>
      <c r="N1013" s="211"/>
      <c r="O1013" s="211"/>
      <c r="P1013" s="211"/>
      <c r="Q1013" s="211"/>
      <c r="R1013" s="211"/>
      <c r="S1013" s="211"/>
      <c r="T1013" s="211"/>
      <c r="U1013" s="211"/>
      <c r="V1013" s="211"/>
      <c r="W1013" s="211"/>
      <c r="X1013" s="211"/>
      <c r="Y1013" s="211"/>
      <c r="Z1013" s="211"/>
      <c r="AA1013" s="211"/>
      <c r="AB1013" s="211"/>
      <c r="AC1013" s="211"/>
      <c r="AD1013" s="211"/>
    </row>
    <row r="1014" ht="17.25" customHeight="1">
      <c r="H1014" s="133"/>
      <c r="L1014" s="211"/>
      <c r="M1014" s="211"/>
      <c r="N1014" s="211"/>
      <c r="O1014" s="211"/>
      <c r="P1014" s="211"/>
      <c r="Q1014" s="211"/>
      <c r="R1014" s="211"/>
      <c r="S1014" s="211"/>
      <c r="T1014" s="211"/>
      <c r="U1014" s="211"/>
      <c r="V1014" s="211"/>
      <c r="W1014" s="211"/>
      <c r="X1014" s="211"/>
      <c r="Y1014" s="211"/>
      <c r="Z1014" s="211"/>
      <c r="AA1014" s="211"/>
      <c r="AB1014" s="211"/>
      <c r="AC1014" s="211"/>
      <c r="AD1014" s="211"/>
    </row>
    <row r="1015" ht="17.25" customHeight="1">
      <c r="H1015" s="133"/>
      <c r="L1015" s="211"/>
      <c r="M1015" s="211"/>
      <c r="N1015" s="211"/>
      <c r="O1015" s="211"/>
      <c r="P1015" s="211"/>
      <c r="Q1015" s="211"/>
      <c r="R1015" s="211"/>
      <c r="S1015" s="211"/>
      <c r="T1015" s="211"/>
      <c r="U1015" s="211"/>
      <c r="V1015" s="211"/>
      <c r="W1015" s="211"/>
      <c r="X1015" s="211"/>
      <c r="Y1015" s="211"/>
      <c r="Z1015" s="211"/>
      <c r="AA1015" s="211"/>
      <c r="AB1015" s="211"/>
      <c r="AC1015" s="211"/>
      <c r="AD1015" s="211"/>
    </row>
    <row r="1016" ht="17.25" customHeight="1">
      <c r="H1016" s="133"/>
      <c r="L1016" s="211"/>
      <c r="M1016" s="211"/>
      <c r="N1016" s="211"/>
      <c r="O1016" s="211"/>
      <c r="P1016" s="211"/>
      <c r="Q1016" s="211"/>
      <c r="R1016" s="211"/>
      <c r="S1016" s="211"/>
      <c r="T1016" s="211"/>
      <c r="U1016" s="211"/>
      <c r="V1016" s="211"/>
      <c r="W1016" s="211"/>
      <c r="X1016" s="211"/>
      <c r="Y1016" s="211"/>
      <c r="Z1016" s="211"/>
      <c r="AA1016" s="211"/>
      <c r="AB1016" s="211"/>
      <c r="AC1016" s="211"/>
      <c r="AD1016" s="211"/>
    </row>
    <row r="1017" ht="17.25" customHeight="1">
      <c r="H1017" s="133"/>
      <c r="L1017" s="211"/>
      <c r="M1017" s="211"/>
      <c r="N1017" s="211"/>
      <c r="O1017" s="211"/>
      <c r="P1017" s="211"/>
      <c r="Q1017" s="211"/>
      <c r="R1017" s="211"/>
      <c r="S1017" s="211"/>
      <c r="T1017" s="211"/>
      <c r="U1017" s="211"/>
      <c r="V1017" s="211"/>
      <c r="W1017" s="211"/>
      <c r="X1017" s="211"/>
      <c r="Y1017" s="211"/>
      <c r="Z1017" s="211"/>
      <c r="AA1017" s="211"/>
      <c r="AB1017" s="211"/>
      <c r="AC1017" s="211"/>
      <c r="AD1017" s="211"/>
    </row>
  </sheetData>
  <autoFilter ref="$A$3:$J$68"/>
  <conditionalFormatting sqref="B27">
    <cfRule type="notContainsBlanks" dxfId="4" priority="1">
      <formula>LEN(TRIM(B27))&gt;0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8.43"/>
    <col customWidth="1" min="3" max="3" width="65.86"/>
    <col customWidth="1" min="4" max="4" width="30.29"/>
    <col customWidth="1" min="5" max="7" width="22.14"/>
    <col customWidth="1" min="8" max="9" width="39.71"/>
  </cols>
  <sheetData>
    <row r="1" ht="17.25" customHeight="1">
      <c r="A1" s="24"/>
      <c r="B1" s="24"/>
      <c r="C1" s="24"/>
      <c r="D1" s="81"/>
      <c r="E1" s="81"/>
      <c r="F1" s="81"/>
      <c r="G1" s="81"/>
      <c r="H1" s="24"/>
      <c r="I1" s="2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</row>
    <row r="2" ht="17.25" customHeight="1">
      <c r="A2" s="24"/>
      <c r="B2" s="214" t="s">
        <v>447</v>
      </c>
      <c r="C2" s="239" t="s">
        <v>478</v>
      </c>
      <c r="D2" s="216"/>
      <c r="E2" s="216"/>
      <c r="F2" s="216"/>
      <c r="G2" s="216"/>
      <c r="H2" s="200"/>
      <c r="I2" s="200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</row>
    <row r="3" ht="17.25" customHeight="1">
      <c r="A3" s="70" t="s">
        <v>3</v>
      </c>
      <c r="B3" s="72" t="s">
        <v>450</v>
      </c>
      <c r="C3" s="72" t="s">
        <v>482</v>
      </c>
      <c r="D3" s="72" t="s">
        <v>484</v>
      </c>
      <c r="E3" s="72" t="s">
        <v>452</v>
      </c>
      <c r="F3" s="72" t="s">
        <v>485</v>
      </c>
      <c r="G3" s="72" t="s">
        <v>486</v>
      </c>
      <c r="H3" s="248" t="s">
        <v>487</v>
      </c>
      <c r="I3" s="220"/>
      <c r="J3" s="56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ht="29.25" customHeight="1">
      <c r="A4" s="222" t="s">
        <v>493</v>
      </c>
      <c r="B4" s="249" t="s">
        <v>496</v>
      </c>
      <c r="C4" s="192" t="s">
        <v>498</v>
      </c>
      <c r="D4" s="250" t="s">
        <v>499</v>
      </c>
      <c r="E4" s="251">
        <v>46044.0</v>
      </c>
      <c r="F4" s="251">
        <v>46050.0</v>
      </c>
      <c r="G4" s="252">
        <f t="shared" ref="G4:G5" si="1">F4-E4+1</f>
        <v>7</v>
      </c>
      <c r="H4" s="253" t="s">
        <v>505</v>
      </c>
      <c r="I4" s="200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17.25" customHeight="1">
      <c r="A5" s="222" t="s">
        <v>507</v>
      </c>
      <c r="B5" s="226"/>
      <c r="C5" s="237" t="s">
        <v>509</v>
      </c>
      <c r="D5" s="256" t="s">
        <v>511</v>
      </c>
      <c r="E5" s="257">
        <v>46042.0</v>
      </c>
      <c r="F5" s="259">
        <v>46044.0</v>
      </c>
      <c r="G5" s="261">
        <f t="shared" si="1"/>
        <v>3</v>
      </c>
      <c r="H5" s="216" t="s">
        <v>505</v>
      </c>
      <c r="I5" s="20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17.25" customHeight="1">
      <c r="A6" s="182"/>
      <c r="B6" s="231"/>
      <c r="C6" s="163"/>
      <c r="D6" s="253"/>
      <c r="E6" s="224"/>
      <c r="F6" s="224"/>
      <c r="G6" s="224"/>
      <c r="H6" s="268"/>
      <c r="I6" s="23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95"/>
      <c r="W6" s="95"/>
      <c r="X6" s="95"/>
      <c r="Y6" s="95"/>
      <c r="Z6" s="95"/>
      <c r="AA6" s="95"/>
      <c r="AB6" s="95"/>
      <c r="AC6" s="95"/>
    </row>
    <row r="7" ht="17.25" customHeight="1">
      <c r="A7" s="182"/>
      <c r="B7" s="220" t="s">
        <v>524</v>
      </c>
      <c r="C7" s="237" t="s">
        <v>526</v>
      </c>
      <c r="D7" s="256" t="s">
        <v>527</v>
      </c>
      <c r="E7" s="105">
        <v>46076.0</v>
      </c>
      <c r="F7" s="105">
        <v>46077.0</v>
      </c>
      <c r="G7" s="270">
        <v>2.0</v>
      </c>
      <c r="H7" s="261" t="s">
        <v>505</v>
      </c>
      <c r="I7" s="23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7.25" customHeight="1">
      <c r="A8" s="182"/>
      <c r="B8" s="231"/>
      <c r="C8" s="163"/>
      <c r="D8" s="253"/>
      <c r="E8" s="224"/>
      <c r="F8" s="224"/>
      <c r="G8" s="224"/>
      <c r="H8" s="163"/>
      <c r="I8" s="23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7.25" customHeight="1">
      <c r="A9" s="272" t="s">
        <v>531</v>
      </c>
      <c r="B9" s="273" t="s">
        <v>532</v>
      </c>
      <c r="C9" s="272" t="s">
        <v>533</v>
      </c>
      <c r="D9" s="274" t="s">
        <v>534</v>
      </c>
      <c r="E9" s="275">
        <v>46111.0</v>
      </c>
      <c r="F9" s="276">
        <v>46112.0</v>
      </c>
      <c r="G9" s="277">
        <v>2.0</v>
      </c>
      <c r="H9" s="274" t="s">
        <v>505</v>
      </c>
      <c r="I9" s="278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</row>
    <row r="10" ht="17.25" customHeight="1">
      <c r="A10" s="281"/>
      <c r="B10" s="282"/>
      <c r="C10" s="282"/>
      <c r="D10" s="282"/>
      <c r="E10" s="283"/>
      <c r="F10" s="284"/>
      <c r="G10" s="284"/>
      <c r="H10" s="284"/>
      <c r="I10" s="286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</row>
    <row r="11" ht="17.25" customHeight="1">
      <c r="A11" s="288" t="s">
        <v>544</v>
      </c>
      <c r="B11" s="289">
        <v>46113.0</v>
      </c>
      <c r="C11" s="290" t="s">
        <v>546</v>
      </c>
      <c r="D11" s="292" t="s">
        <v>547</v>
      </c>
      <c r="E11" s="293">
        <v>46113.0</v>
      </c>
      <c r="F11" s="293">
        <v>46113.0</v>
      </c>
      <c r="G11" s="294">
        <v>1.0</v>
      </c>
      <c r="H11" s="274" t="s">
        <v>505</v>
      </c>
      <c r="I11" s="278"/>
      <c r="J11" s="278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</row>
    <row r="12" ht="17.25" customHeight="1">
      <c r="A12" s="288" t="s">
        <v>549</v>
      </c>
      <c r="B12" s="282"/>
      <c r="C12" s="295" t="s">
        <v>551</v>
      </c>
      <c r="D12" s="296" t="s">
        <v>553</v>
      </c>
      <c r="E12" s="297">
        <v>46119.0</v>
      </c>
      <c r="F12" s="297">
        <v>46120.0</v>
      </c>
      <c r="G12" s="298">
        <v>2.0</v>
      </c>
      <c r="H12" s="299" t="s">
        <v>505</v>
      </c>
      <c r="I12" s="286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300"/>
      <c r="X12" s="300"/>
      <c r="Y12" s="300"/>
      <c r="Z12" s="300"/>
      <c r="AA12" s="300"/>
      <c r="AB12" s="300"/>
      <c r="AC12" s="300"/>
    </row>
    <row r="13" ht="17.25" customHeight="1">
      <c r="A13" s="222"/>
      <c r="B13" s="244"/>
      <c r="C13" s="301"/>
      <c r="D13" s="256"/>
      <c r="E13" s="303"/>
      <c r="F13" s="303"/>
      <c r="G13" s="256"/>
      <c r="H13" s="200"/>
      <c r="I13" s="247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7.25" customHeight="1">
      <c r="A14" s="182"/>
      <c r="B14" s="305" t="s">
        <v>568</v>
      </c>
      <c r="C14" s="163"/>
      <c r="D14" s="253"/>
      <c r="E14" s="224"/>
      <c r="F14" s="224"/>
      <c r="G14" s="224"/>
      <c r="H14" s="163"/>
      <c r="I14" s="23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7.25" customHeight="1">
      <c r="A15" s="182"/>
      <c r="B15" s="237"/>
      <c r="C15" s="200"/>
      <c r="D15" s="216"/>
      <c r="E15" s="230"/>
      <c r="F15" s="230"/>
      <c r="G15" s="230"/>
      <c r="H15" s="200"/>
      <c r="I15" s="23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7.25" customHeight="1">
      <c r="A16" s="182"/>
      <c r="B16" s="231"/>
      <c r="C16" s="163"/>
      <c r="D16" s="253"/>
      <c r="E16" s="224"/>
      <c r="F16" s="224"/>
      <c r="G16" s="224"/>
      <c r="H16" s="163"/>
      <c r="I16" s="23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95"/>
      <c r="W16" s="95"/>
      <c r="X16" s="95"/>
      <c r="Y16" s="95"/>
      <c r="Z16" s="95"/>
      <c r="AA16" s="95"/>
      <c r="AB16" s="95"/>
      <c r="AC16" s="95"/>
    </row>
    <row r="17" ht="17.25" customHeight="1">
      <c r="A17" s="182"/>
      <c r="B17" s="204"/>
      <c r="C17" s="171"/>
      <c r="D17" s="311"/>
      <c r="E17" s="260"/>
      <c r="F17" s="260"/>
      <c r="G17" s="260"/>
      <c r="H17" s="171"/>
      <c r="I17" s="23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7.25" customHeight="1">
      <c r="A18" s="313"/>
      <c r="B18" s="163"/>
      <c r="C18" s="163"/>
      <c r="D18" s="253"/>
      <c r="E18" s="241"/>
      <c r="F18" s="241"/>
      <c r="G18" s="241"/>
      <c r="H18" s="163"/>
      <c r="I18" s="23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7.25" customHeight="1">
      <c r="A19" s="182"/>
      <c r="B19" s="267"/>
      <c r="C19" s="171"/>
      <c r="D19" s="311"/>
      <c r="E19" s="260"/>
      <c r="F19" s="260"/>
      <c r="G19" s="260"/>
      <c r="H19" s="171"/>
      <c r="I19" s="23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34"/>
      <c r="W19" s="234"/>
      <c r="X19" s="234"/>
      <c r="Y19" s="234"/>
      <c r="Z19" s="234"/>
      <c r="AA19" s="234"/>
      <c r="AB19" s="234"/>
      <c r="AC19" s="234"/>
    </row>
    <row r="20" ht="17.25" customHeight="1">
      <c r="A20" s="182"/>
      <c r="B20" s="163"/>
      <c r="C20" s="163"/>
      <c r="D20" s="253"/>
      <c r="E20" s="224"/>
      <c r="F20" s="224"/>
      <c r="G20" s="224"/>
      <c r="H20" s="163"/>
      <c r="I20" s="23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34"/>
      <c r="W20" s="234"/>
      <c r="X20" s="234"/>
      <c r="Y20" s="234"/>
      <c r="Z20" s="234"/>
      <c r="AA20" s="234"/>
      <c r="AB20" s="234"/>
      <c r="AC20" s="234"/>
    </row>
    <row r="21" ht="17.25" customHeight="1">
      <c r="A21" s="182"/>
      <c r="B21" s="171"/>
      <c r="C21" s="171"/>
      <c r="D21" s="311"/>
      <c r="E21" s="260"/>
      <c r="F21" s="260"/>
      <c r="G21" s="260"/>
      <c r="H21" s="171"/>
      <c r="I21" s="23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34"/>
      <c r="W21" s="234"/>
      <c r="X21" s="234"/>
      <c r="Y21" s="234"/>
      <c r="Z21" s="234"/>
      <c r="AA21" s="234"/>
      <c r="AB21" s="234"/>
      <c r="AC21" s="234"/>
    </row>
    <row r="22" ht="17.25" customHeight="1">
      <c r="A22" s="182"/>
      <c r="B22" s="171"/>
      <c r="C22" s="171"/>
      <c r="D22" s="311"/>
      <c r="E22" s="260"/>
      <c r="F22" s="260"/>
      <c r="G22" s="260"/>
      <c r="H22" s="171"/>
      <c r="I22" s="23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34"/>
      <c r="W22" s="234"/>
      <c r="X22" s="234"/>
      <c r="Y22" s="234"/>
      <c r="Z22" s="234"/>
      <c r="AA22" s="234"/>
      <c r="AB22" s="234"/>
      <c r="AC22" s="234"/>
    </row>
    <row r="23" ht="17.25" customHeight="1">
      <c r="A23" s="182"/>
      <c r="B23" s="231"/>
      <c r="C23" s="163"/>
      <c r="D23" s="253"/>
      <c r="E23" s="241"/>
      <c r="F23" s="241"/>
      <c r="G23" s="241"/>
      <c r="H23" s="163"/>
      <c r="I23" s="247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34"/>
      <c r="W23" s="234"/>
      <c r="X23" s="234"/>
      <c r="Y23" s="234"/>
      <c r="Z23" s="234"/>
      <c r="AA23" s="234"/>
      <c r="AB23" s="234"/>
      <c r="AC23" s="234"/>
    </row>
    <row r="24" ht="17.25" customHeight="1">
      <c r="A24" s="182"/>
      <c r="B24" s="171"/>
      <c r="C24" s="171"/>
      <c r="D24" s="311"/>
      <c r="E24" s="280"/>
      <c r="F24" s="280"/>
      <c r="G24" s="280"/>
      <c r="H24" s="191"/>
      <c r="I24" s="247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34"/>
      <c r="W24" s="234"/>
      <c r="X24" s="234"/>
      <c r="Y24" s="234"/>
      <c r="Z24" s="234"/>
      <c r="AA24" s="234"/>
      <c r="AB24" s="234"/>
      <c r="AC24" s="234"/>
    </row>
    <row r="25" ht="17.25" customHeight="1">
      <c r="A25" s="182"/>
      <c r="B25" s="163"/>
      <c r="C25" s="163"/>
      <c r="D25" s="253"/>
      <c r="E25" s="241"/>
      <c r="F25" s="241"/>
      <c r="G25" s="241"/>
      <c r="H25" s="183"/>
      <c r="I25" s="247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34"/>
      <c r="W25" s="234"/>
      <c r="X25" s="234"/>
      <c r="Y25" s="234"/>
      <c r="Z25" s="234"/>
      <c r="AA25" s="234"/>
      <c r="AB25" s="234"/>
      <c r="AC25" s="234"/>
    </row>
    <row r="26" ht="17.25" customHeight="1">
      <c r="A26" s="182"/>
      <c r="B26" s="171"/>
      <c r="C26" s="171"/>
      <c r="D26" s="311"/>
      <c r="E26" s="260"/>
      <c r="F26" s="260"/>
      <c r="G26" s="260"/>
      <c r="H26" s="191"/>
      <c r="I26" s="2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34"/>
      <c r="W26" s="234"/>
      <c r="X26" s="234"/>
      <c r="Y26" s="234"/>
      <c r="Z26" s="234"/>
      <c r="AA26" s="234"/>
      <c r="AB26" s="234"/>
      <c r="AC26" s="234"/>
    </row>
    <row r="27" ht="17.25" customHeight="1">
      <c r="A27" s="182"/>
      <c r="B27" s="163"/>
      <c r="C27" s="163"/>
      <c r="D27" s="253"/>
      <c r="E27" s="224"/>
      <c r="F27" s="224"/>
      <c r="G27" s="224"/>
      <c r="H27" s="183"/>
      <c r="I27" s="2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95"/>
      <c r="W27" s="95"/>
      <c r="X27" s="95"/>
      <c r="Y27" s="95"/>
      <c r="Z27" s="95"/>
      <c r="AA27" s="95"/>
      <c r="AB27" s="95"/>
      <c r="AC27" s="95"/>
    </row>
    <row r="28" ht="17.25" customHeight="1">
      <c r="A28" s="24"/>
      <c r="B28" s="242"/>
      <c r="C28" s="237"/>
      <c r="D28" s="256"/>
      <c r="E28" s="105"/>
      <c r="F28" s="105"/>
      <c r="G28" s="105"/>
      <c r="H28" s="301"/>
      <c r="I28" s="23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17.25" customHeight="1">
      <c r="A29" s="24"/>
      <c r="B29" s="192"/>
      <c r="C29" s="192"/>
      <c r="D29" s="250"/>
      <c r="E29" s="101"/>
      <c r="F29" s="101"/>
      <c r="G29" s="101"/>
      <c r="H29" s="304"/>
      <c r="I29" s="23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95"/>
      <c r="W29" s="95"/>
      <c r="X29" s="95"/>
      <c r="Y29" s="95"/>
      <c r="Z29" s="95"/>
      <c r="AA29" s="95"/>
      <c r="AB29" s="95"/>
      <c r="AC29" s="95"/>
    </row>
    <row r="30" ht="17.25" customHeight="1">
      <c r="A30" s="222"/>
      <c r="B30" s="237"/>
      <c r="C30" s="237"/>
      <c r="D30" s="256"/>
      <c r="E30" s="105"/>
      <c r="F30" s="105"/>
      <c r="G30" s="105"/>
      <c r="H30" s="200"/>
      <c r="I30" s="23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7.25" customHeight="1">
      <c r="A31" s="222"/>
      <c r="B31" s="192"/>
      <c r="C31" s="192"/>
      <c r="D31" s="250"/>
      <c r="E31" s="101"/>
      <c r="F31" s="101"/>
      <c r="G31" s="101"/>
      <c r="H31" s="163"/>
      <c r="I31" s="233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95"/>
      <c r="W31" s="95"/>
      <c r="X31" s="95"/>
      <c r="Y31" s="95"/>
      <c r="Z31" s="95"/>
      <c r="AA31" s="95"/>
      <c r="AB31" s="95"/>
      <c r="AC31" s="95"/>
    </row>
    <row r="32" ht="17.25" customHeight="1">
      <c r="A32" s="24"/>
      <c r="B32" s="24"/>
      <c r="C32" s="24"/>
      <c r="D32" s="81"/>
      <c r="E32" s="308"/>
      <c r="F32" s="308"/>
      <c r="G32" s="308"/>
      <c r="H32" s="24"/>
      <c r="I32" s="233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34"/>
      <c r="W32" s="234"/>
      <c r="X32" s="234"/>
      <c r="Y32" s="234"/>
      <c r="Z32" s="234"/>
      <c r="AA32" s="234"/>
      <c r="AB32" s="234"/>
      <c r="AC32" s="234"/>
    </row>
    <row r="33" ht="17.25" customHeight="1">
      <c r="A33" s="24"/>
      <c r="B33" s="95"/>
      <c r="C33" s="92"/>
      <c r="D33" s="341"/>
      <c r="E33" s="342"/>
      <c r="F33" s="342"/>
      <c r="G33" s="342"/>
      <c r="H33" s="92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95"/>
      <c r="W33" s="95"/>
      <c r="X33" s="95"/>
      <c r="Y33" s="95"/>
      <c r="Z33" s="95"/>
      <c r="AA33" s="95"/>
      <c r="AB33" s="95"/>
      <c r="AC33" s="95"/>
    </row>
    <row r="34" ht="17.25" customHeight="1">
      <c r="A34" s="24"/>
      <c r="B34" s="24"/>
      <c r="C34" s="24"/>
      <c r="D34" s="81"/>
      <c r="E34" s="346"/>
      <c r="F34" s="346"/>
      <c r="G34" s="346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34"/>
      <c r="W34" s="234"/>
      <c r="X34" s="234"/>
      <c r="Y34" s="234"/>
      <c r="Z34" s="234"/>
      <c r="AA34" s="234"/>
      <c r="AB34" s="234"/>
      <c r="AC34" s="234"/>
    </row>
    <row r="35" ht="17.25" customHeight="1">
      <c r="A35" s="24"/>
      <c r="B35" s="92"/>
      <c r="C35" s="92"/>
      <c r="D35" s="341"/>
      <c r="E35" s="348"/>
      <c r="F35" s="348"/>
      <c r="G35" s="348"/>
      <c r="H35" s="9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34"/>
      <c r="W35" s="234"/>
      <c r="X35" s="234"/>
      <c r="Y35" s="234"/>
      <c r="Z35" s="234"/>
      <c r="AA35" s="234"/>
      <c r="AB35" s="234"/>
      <c r="AC35" s="234"/>
    </row>
    <row r="36" ht="17.25" customHeight="1">
      <c r="A36" s="225"/>
      <c r="B36" s="349"/>
      <c r="C36" s="225"/>
      <c r="D36" s="350"/>
      <c r="E36" s="351"/>
      <c r="F36" s="351"/>
      <c r="G36" s="351"/>
      <c r="H36" s="225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</row>
    <row r="37" ht="17.25" customHeight="1">
      <c r="A37" s="222"/>
      <c r="B37" s="192"/>
      <c r="C37" s="192"/>
      <c r="D37" s="250"/>
      <c r="E37" s="101"/>
      <c r="F37" s="101"/>
      <c r="G37" s="101"/>
      <c r="H37" s="163"/>
      <c r="I37" s="233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7.25" customHeight="1">
      <c r="A38" s="222"/>
      <c r="B38" s="237"/>
      <c r="C38" s="237"/>
      <c r="D38" s="256"/>
      <c r="E38" s="105"/>
      <c r="F38" s="105"/>
      <c r="G38" s="105"/>
      <c r="H38" s="237"/>
      <c r="I38" s="23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ht="17.25" customHeight="1">
      <c r="A39" s="222"/>
      <c r="B39" s="192"/>
      <c r="C39" s="192"/>
      <c r="D39" s="250"/>
      <c r="E39" s="101"/>
      <c r="F39" s="101"/>
      <c r="G39" s="101"/>
      <c r="H39" s="163"/>
      <c r="I39" s="233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ht="17.25" customHeight="1">
      <c r="A40" s="24"/>
      <c r="B40" s="24"/>
      <c r="C40" s="24"/>
      <c r="D40" s="81"/>
      <c r="E40" s="81"/>
      <c r="F40" s="81"/>
      <c r="G40" s="81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34"/>
      <c r="W40" s="234"/>
      <c r="X40" s="234"/>
      <c r="Y40" s="234"/>
      <c r="Z40" s="234"/>
      <c r="AA40" s="234"/>
      <c r="AB40" s="234"/>
      <c r="AC40" s="234"/>
    </row>
    <row r="41" ht="17.25" customHeight="1">
      <c r="A41" s="24"/>
      <c r="B41" s="354"/>
      <c r="C41" s="92"/>
      <c r="D41" s="341"/>
      <c r="E41" s="342"/>
      <c r="F41" s="342"/>
      <c r="G41" s="341"/>
      <c r="H41" s="9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34"/>
      <c r="W41" s="234"/>
      <c r="X41" s="234"/>
      <c r="Y41" s="234"/>
      <c r="Z41" s="234"/>
      <c r="AA41" s="234"/>
      <c r="AB41" s="234"/>
      <c r="AC41" s="234"/>
    </row>
    <row r="42" ht="17.25" customHeight="1">
      <c r="A42" s="24"/>
      <c r="B42" s="355"/>
      <c r="C42" s="24"/>
      <c r="D42" s="81"/>
      <c r="E42" s="357"/>
      <c r="F42" s="357"/>
      <c r="G42" s="358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ht="17.25" customHeight="1">
      <c r="A43" s="24"/>
      <c r="B43" s="354"/>
      <c r="C43" s="92"/>
      <c r="D43" s="341"/>
      <c r="E43" s="342"/>
      <c r="F43" s="342"/>
      <c r="G43" s="341"/>
      <c r="H43" s="92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34"/>
      <c r="W43" s="234"/>
      <c r="X43" s="234"/>
      <c r="Y43" s="234"/>
      <c r="Z43" s="234"/>
      <c r="AA43" s="234"/>
      <c r="AB43" s="234"/>
      <c r="AC43" s="234"/>
    </row>
    <row r="44" ht="17.25" customHeight="1">
      <c r="A44" s="24"/>
      <c r="B44" s="53"/>
      <c r="C44" s="53"/>
      <c r="D44" s="261"/>
      <c r="E44" s="257"/>
      <c r="F44" s="257"/>
      <c r="G44" s="261"/>
      <c r="H44" s="53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ht="17.25" customHeight="1">
      <c r="A45" s="24"/>
      <c r="B45" s="95"/>
      <c r="C45" s="92"/>
      <c r="D45" s="341"/>
      <c r="E45" s="342"/>
      <c r="F45" s="342"/>
      <c r="G45" s="252"/>
      <c r="H45" s="9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34"/>
      <c r="W45" s="234"/>
      <c r="X45" s="234"/>
      <c r="Y45" s="234"/>
      <c r="Z45" s="234"/>
      <c r="AA45" s="234"/>
      <c r="AB45" s="234"/>
      <c r="AC45" s="234"/>
    </row>
    <row r="46" ht="17.25" customHeight="1">
      <c r="A46" s="24"/>
      <c r="B46" s="24"/>
      <c r="C46" s="24"/>
      <c r="D46" s="81"/>
      <c r="E46" s="357"/>
      <c r="F46" s="357"/>
      <c r="G46" s="261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ht="17.25" customHeight="1">
      <c r="A47" s="24"/>
      <c r="B47" s="95"/>
      <c r="C47" s="92"/>
      <c r="D47" s="366"/>
      <c r="E47" s="342"/>
      <c r="F47" s="342"/>
      <c r="G47" s="252"/>
      <c r="H47" s="9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ht="17.25" customHeight="1">
      <c r="A48" s="24"/>
      <c r="B48" s="355"/>
      <c r="C48" s="24"/>
      <c r="D48" s="81"/>
      <c r="E48" s="357"/>
      <c r="F48" s="357"/>
      <c r="G48" s="261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ht="17.25" customHeight="1">
      <c r="A49" s="24"/>
      <c r="B49" s="24"/>
      <c r="C49" s="24"/>
      <c r="D49" s="81"/>
      <c r="E49" s="81"/>
      <c r="F49" s="81"/>
      <c r="G49" s="81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34"/>
      <c r="W49" s="234"/>
      <c r="X49" s="234"/>
      <c r="Y49" s="234"/>
      <c r="Z49" s="234"/>
      <c r="AA49" s="234"/>
      <c r="AB49" s="234"/>
      <c r="AC49" s="234"/>
    </row>
    <row r="50" ht="17.25" customHeight="1">
      <c r="A50" s="24"/>
      <c r="B50" s="24"/>
      <c r="C50" s="24"/>
      <c r="D50" s="81"/>
      <c r="E50" s="81"/>
      <c r="F50" s="81"/>
      <c r="G50" s="81"/>
      <c r="H50" s="24"/>
      <c r="I50" s="2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</row>
    <row r="51" ht="17.25" customHeight="1">
      <c r="A51" s="24"/>
      <c r="B51" s="24"/>
      <c r="C51" s="56"/>
      <c r="D51" s="81"/>
      <c r="E51" s="81"/>
      <c r="F51" s="81"/>
      <c r="G51" s="81"/>
      <c r="H51" s="24"/>
      <c r="I51" s="2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</row>
    <row r="52" ht="17.25" customHeight="1">
      <c r="A52" s="24"/>
      <c r="B52" s="24"/>
      <c r="C52" s="56"/>
      <c r="D52" s="81"/>
      <c r="E52" s="81"/>
      <c r="F52" s="81"/>
      <c r="G52" s="81"/>
      <c r="H52" s="24"/>
      <c r="I52" s="2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</row>
    <row r="53" ht="17.25" customHeight="1">
      <c r="A53" s="24"/>
      <c r="B53" s="24"/>
      <c r="C53" s="56" t="s">
        <v>77</v>
      </c>
      <c r="D53" s="81"/>
      <c r="E53" s="81"/>
      <c r="F53" s="81"/>
      <c r="G53" s="81"/>
      <c r="H53" s="24"/>
      <c r="I53" s="2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</row>
    <row r="54" ht="17.25" customHeight="1">
      <c r="A54" s="24"/>
      <c r="B54" s="24"/>
      <c r="C54" s="24"/>
      <c r="D54" s="81"/>
      <c r="E54" s="81"/>
      <c r="F54" s="81"/>
      <c r="G54" s="81"/>
      <c r="H54" s="24"/>
      <c r="I54" s="2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</row>
    <row r="55" ht="17.25" customHeight="1">
      <c r="A55" s="24"/>
      <c r="B55" s="24"/>
      <c r="C55" s="24"/>
      <c r="D55" s="81"/>
      <c r="E55" s="81"/>
      <c r="F55" s="81"/>
      <c r="G55" s="81"/>
      <c r="H55" s="24"/>
      <c r="I55" s="2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</row>
    <row r="56" ht="17.25" customHeight="1">
      <c r="A56" s="24"/>
      <c r="B56" s="24"/>
      <c r="C56" s="24"/>
      <c r="D56" s="81"/>
      <c r="E56" s="81"/>
      <c r="F56" s="81"/>
      <c r="G56" s="81"/>
      <c r="H56" s="24"/>
      <c r="I56" s="2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</row>
    <row r="57" ht="17.25" customHeight="1">
      <c r="A57" s="24"/>
      <c r="B57" s="24"/>
      <c r="C57" s="24"/>
      <c r="D57" s="81"/>
      <c r="E57" s="81"/>
      <c r="F57" s="81"/>
      <c r="G57" s="81"/>
      <c r="H57" s="24"/>
      <c r="I57" s="2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</row>
    <row r="58" ht="17.25" customHeight="1">
      <c r="A58" s="24"/>
      <c r="B58" s="24"/>
      <c r="C58" s="24"/>
      <c r="D58" s="81"/>
      <c r="E58" s="81"/>
      <c r="F58" s="81"/>
      <c r="G58" s="81"/>
      <c r="H58" s="24"/>
      <c r="I58" s="2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</row>
    <row r="59" ht="17.25" customHeight="1">
      <c r="A59" s="24"/>
      <c r="B59" s="24"/>
      <c r="C59" s="24"/>
      <c r="D59" s="81"/>
      <c r="E59" s="81"/>
      <c r="F59" s="81"/>
      <c r="G59" s="81"/>
      <c r="H59" s="24"/>
      <c r="I59" s="2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</row>
    <row r="60" ht="17.25" customHeight="1">
      <c r="A60" s="24"/>
      <c r="B60" s="24"/>
      <c r="C60" s="24"/>
      <c r="D60" s="81"/>
      <c r="E60" s="81"/>
      <c r="F60" s="81"/>
      <c r="G60" s="81"/>
      <c r="H60" s="24"/>
      <c r="I60" s="2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</row>
    <row r="61" ht="17.25" customHeight="1">
      <c r="A61" s="24"/>
      <c r="B61" s="24"/>
      <c r="C61" s="24"/>
      <c r="D61" s="81"/>
      <c r="E61" s="81"/>
      <c r="F61" s="81"/>
      <c r="G61" s="81"/>
      <c r="H61" s="24"/>
      <c r="I61" s="2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</row>
    <row r="62" ht="17.25" customHeight="1">
      <c r="A62" s="24"/>
      <c r="B62" s="24"/>
      <c r="C62" s="24"/>
      <c r="D62" s="81"/>
      <c r="E62" s="81"/>
      <c r="F62" s="81"/>
      <c r="G62" s="81"/>
      <c r="H62" s="24"/>
      <c r="I62" s="2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</row>
    <row r="63" ht="17.25" customHeight="1">
      <c r="A63" s="24"/>
      <c r="B63" s="24"/>
      <c r="C63" s="24"/>
      <c r="D63" s="81"/>
      <c r="E63" s="81"/>
      <c r="F63" s="81"/>
      <c r="G63" s="81"/>
      <c r="H63" s="24"/>
      <c r="I63" s="2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</row>
    <row r="64" ht="17.25" customHeight="1">
      <c r="A64" s="24"/>
      <c r="B64" s="24"/>
      <c r="C64" s="24"/>
      <c r="D64" s="81"/>
      <c r="E64" s="81"/>
      <c r="F64" s="81"/>
      <c r="G64" s="81"/>
      <c r="H64" s="24"/>
      <c r="I64" s="2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</row>
    <row r="65" ht="17.25" customHeight="1">
      <c r="A65" s="24"/>
      <c r="B65" s="24"/>
      <c r="C65" s="24"/>
      <c r="D65" s="81"/>
      <c r="E65" s="81"/>
      <c r="F65" s="81"/>
      <c r="G65" s="81"/>
      <c r="H65" s="24"/>
      <c r="I65" s="2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</row>
    <row r="66" ht="17.25" customHeight="1">
      <c r="A66" s="24"/>
      <c r="B66" s="24"/>
      <c r="C66" s="24"/>
      <c r="D66" s="81"/>
      <c r="E66" s="81"/>
      <c r="F66" s="81"/>
      <c r="G66" s="81"/>
      <c r="H66" s="24"/>
      <c r="I66" s="2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</row>
    <row r="67" ht="17.25" customHeight="1">
      <c r="A67" s="24"/>
      <c r="B67" s="24"/>
      <c r="C67" s="24"/>
      <c r="D67" s="81"/>
      <c r="E67" s="81"/>
      <c r="F67" s="81"/>
      <c r="G67" s="81"/>
      <c r="H67" s="24"/>
      <c r="I67" s="2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</row>
    <row r="68" ht="17.25" customHeight="1">
      <c r="A68" s="24"/>
      <c r="B68" s="24"/>
      <c r="C68" s="24"/>
      <c r="D68" s="81"/>
      <c r="E68" s="81"/>
      <c r="F68" s="81"/>
      <c r="G68" s="81"/>
      <c r="H68" s="24"/>
      <c r="I68" s="2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</row>
    <row r="69" ht="17.25" customHeight="1">
      <c r="A69" s="24"/>
      <c r="B69" s="24"/>
      <c r="C69" s="24"/>
      <c r="D69" s="81"/>
      <c r="E69" s="81"/>
      <c r="F69" s="81"/>
      <c r="G69" s="81"/>
      <c r="H69" s="24"/>
      <c r="I69" s="2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</row>
    <row r="70" ht="17.25" customHeight="1">
      <c r="A70" s="24"/>
      <c r="B70" s="24"/>
      <c r="C70" s="24"/>
      <c r="D70" s="81"/>
      <c r="E70" s="81"/>
      <c r="F70" s="81"/>
      <c r="G70" s="81"/>
      <c r="H70" s="24"/>
      <c r="I70" s="2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</row>
    <row r="71" ht="17.25" customHeight="1">
      <c r="A71" s="24"/>
      <c r="B71" s="24"/>
      <c r="C71" s="24"/>
      <c r="D71" s="81"/>
      <c r="E71" s="81"/>
      <c r="F71" s="81"/>
      <c r="G71" s="81"/>
      <c r="H71" s="24"/>
      <c r="I71" s="2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</row>
    <row r="72" ht="17.25" customHeight="1">
      <c r="A72" s="24"/>
      <c r="B72" s="24"/>
      <c r="C72" s="24"/>
      <c r="D72" s="81"/>
      <c r="E72" s="81"/>
      <c r="F72" s="81"/>
      <c r="G72" s="81"/>
      <c r="H72" s="24"/>
      <c r="I72" s="2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</row>
    <row r="73" ht="17.25" customHeight="1">
      <c r="A73" s="24"/>
      <c r="B73" s="24"/>
      <c r="C73" s="24"/>
      <c r="D73" s="81"/>
      <c r="E73" s="81"/>
      <c r="F73" s="81"/>
      <c r="G73" s="81"/>
      <c r="H73" s="24"/>
      <c r="I73" s="2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</row>
    <row r="74" ht="17.25" customHeight="1">
      <c r="A74" s="24"/>
      <c r="B74" s="24"/>
      <c r="C74" s="24"/>
      <c r="D74" s="81"/>
      <c r="E74" s="81"/>
      <c r="F74" s="81"/>
      <c r="G74" s="81"/>
      <c r="H74" s="24"/>
      <c r="I74" s="2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</row>
    <row r="75" ht="17.25" customHeight="1">
      <c r="A75" s="24"/>
      <c r="B75" s="24"/>
      <c r="C75" s="24"/>
      <c r="D75" s="81"/>
      <c r="E75" s="81"/>
      <c r="F75" s="81"/>
      <c r="G75" s="81"/>
      <c r="H75" s="24"/>
      <c r="I75" s="2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</row>
    <row r="76" ht="17.25" customHeight="1">
      <c r="A76" s="24"/>
      <c r="B76" s="24"/>
      <c r="C76" s="24"/>
      <c r="D76" s="81"/>
      <c r="E76" s="81"/>
      <c r="F76" s="81"/>
      <c r="G76" s="81"/>
      <c r="H76" s="24"/>
      <c r="I76" s="2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</row>
    <row r="77" ht="17.25" customHeight="1">
      <c r="A77" s="24"/>
      <c r="B77" s="24"/>
      <c r="C77" s="24"/>
      <c r="D77" s="81"/>
      <c r="E77" s="81"/>
      <c r="F77" s="81"/>
      <c r="G77" s="81"/>
      <c r="H77" s="24"/>
      <c r="I77" s="2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</row>
    <row r="78" ht="17.25" customHeight="1">
      <c r="A78" s="24"/>
      <c r="B78" s="24"/>
      <c r="C78" s="24"/>
      <c r="D78" s="81"/>
      <c r="E78" s="81"/>
      <c r="F78" s="81"/>
      <c r="G78" s="81"/>
      <c r="H78" s="24"/>
      <c r="I78" s="2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</row>
    <row r="79" ht="17.25" customHeight="1">
      <c r="A79" s="24"/>
      <c r="B79" s="24"/>
      <c r="C79" s="24"/>
      <c r="D79" s="81"/>
      <c r="E79" s="81"/>
      <c r="F79" s="81"/>
      <c r="G79" s="81"/>
      <c r="H79" s="24"/>
      <c r="I79" s="2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</row>
    <row r="80" ht="17.25" customHeight="1">
      <c r="A80" s="24"/>
      <c r="B80" s="24"/>
      <c r="C80" s="24"/>
      <c r="D80" s="81"/>
      <c r="E80" s="81"/>
      <c r="F80" s="81"/>
      <c r="G80" s="81"/>
      <c r="H80" s="24"/>
      <c r="I80" s="2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</row>
    <row r="81" ht="17.25" customHeight="1">
      <c r="A81" s="24"/>
      <c r="B81" s="24"/>
      <c r="C81" s="24"/>
      <c r="D81" s="81"/>
      <c r="E81" s="81"/>
      <c r="F81" s="81"/>
      <c r="G81" s="81"/>
      <c r="H81" s="24"/>
      <c r="I81" s="2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</row>
    <row r="82" ht="17.25" customHeight="1">
      <c r="A82" s="24"/>
      <c r="B82" s="24"/>
      <c r="C82" s="24"/>
      <c r="D82" s="81"/>
      <c r="E82" s="81"/>
      <c r="F82" s="81"/>
      <c r="G82" s="81"/>
      <c r="H82" s="24"/>
      <c r="I82" s="2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</row>
    <row r="83" ht="17.25" customHeight="1">
      <c r="A83" s="24"/>
      <c r="B83" s="24"/>
      <c r="C83" s="24"/>
      <c r="D83" s="81"/>
      <c r="E83" s="81"/>
      <c r="F83" s="81"/>
      <c r="G83" s="81"/>
      <c r="H83" s="24"/>
      <c r="I83" s="2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</row>
    <row r="84" ht="17.25" customHeight="1">
      <c r="A84" s="24"/>
      <c r="B84" s="24"/>
      <c r="C84" s="24"/>
      <c r="D84" s="81"/>
      <c r="E84" s="81"/>
      <c r="F84" s="81"/>
      <c r="G84" s="81"/>
      <c r="H84" s="24"/>
      <c r="I84" s="2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</row>
    <row r="85" ht="17.25" customHeight="1">
      <c r="A85" s="24"/>
      <c r="B85" s="24"/>
      <c r="C85" s="24"/>
      <c r="D85" s="81"/>
      <c r="E85" s="81"/>
      <c r="F85" s="81"/>
      <c r="G85" s="81"/>
      <c r="H85" s="24"/>
      <c r="I85" s="2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</row>
    <row r="86" ht="17.25" customHeight="1">
      <c r="A86" s="24"/>
      <c r="B86" s="24"/>
      <c r="C86" s="24"/>
      <c r="D86" s="81"/>
      <c r="E86" s="81"/>
      <c r="F86" s="81"/>
      <c r="G86" s="81"/>
      <c r="H86" s="24"/>
      <c r="I86" s="2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</row>
    <row r="87" ht="17.25" customHeight="1">
      <c r="A87" s="24"/>
      <c r="B87" s="24"/>
      <c r="C87" s="24"/>
      <c r="D87" s="81"/>
      <c r="E87" s="81"/>
      <c r="F87" s="81"/>
      <c r="G87" s="81"/>
      <c r="H87" s="24"/>
      <c r="I87" s="2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</row>
    <row r="88" ht="17.25" customHeight="1">
      <c r="A88" s="24"/>
      <c r="B88" s="24"/>
      <c r="C88" s="24"/>
      <c r="D88" s="81"/>
      <c r="E88" s="81"/>
      <c r="F88" s="81"/>
      <c r="G88" s="81"/>
      <c r="H88" s="24"/>
      <c r="I88" s="2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</row>
    <row r="89" ht="17.25" customHeight="1">
      <c r="A89" s="24"/>
      <c r="B89" s="24"/>
      <c r="C89" s="24"/>
      <c r="D89" s="81"/>
      <c r="E89" s="81"/>
      <c r="F89" s="81"/>
      <c r="G89" s="81"/>
      <c r="H89" s="24"/>
      <c r="I89" s="2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</row>
    <row r="90" ht="17.25" customHeight="1">
      <c r="A90" s="24"/>
      <c r="B90" s="24"/>
      <c r="C90" s="24"/>
      <c r="D90" s="81"/>
      <c r="E90" s="81"/>
      <c r="F90" s="81"/>
      <c r="G90" s="81"/>
      <c r="H90" s="24"/>
      <c r="I90" s="2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</row>
    <row r="91" ht="17.25" customHeight="1">
      <c r="A91" s="24"/>
      <c r="B91" s="24"/>
      <c r="C91" s="24"/>
      <c r="D91" s="81"/>
      <c r="E91" s="81"/>
      <c r="F91" s="81"/>
      <c r="G91" s="81"/>
      <c r="H91" s="24"/>
      <c r="I91" s="2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</row>
    <row r="92" ht="17.25" customHeight="1">
      <c r="A92" s="24"/>
      <c r="B92" s="24"/>
      <c r="C92" s="24"/>
      <c r="D92" s="81"/>
      <c r="E92" s="81"/>
      <c r="F92" s="81"/>
      <c r="G92" s="81"/>
      <c r="H92" s="24"/>
      <c r="I92" s="2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</row>
    <row r="93" ht="17.25" customHeight="1">
      <c r="A93" s="24"/>
      <c r="B93" s="24"/>
      <c r="C93" s="24"/>
      <c r="D93" s="81"/>
      <c r="E93" s="81"/>
      <c r="F93" s="81"/>
      <c r="G93" s="81"/>
      <c r="H93" s="24"/>
      <c r="I93" s="2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</row>
    <row r="94" ht="17.25" customHeight="1">
      <c r="A94" s="24"/>
      <c r="B94" s="24"/>
      <c r="C94" s="24"/>
      <c r="D94" s="81"/>
      <c r="E94" s="81"/>
      <c r="F94" s="81"/>
      <c r="G94" s="81"/>
      <c r="H94" s="24"/>
      <c r="I94" s="2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</row>
    <row r="95" ht="17.25" customHeight="1">
      <c r="A95" s="24"/>
      <c r="B95" s="24"/>
      <c r="C95" s="24"/>
      <c r="D95" s="81"/>
      <c r="E95" s="81"/>
      <c r="F95" s="81"/>
      <c r="G95" s="81"/>
      <c r="H95" s="24"/>
      <c r="I95" s="2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</row>
    <row r="96" ht="17.25" customHeight="1">
      <c r="A96" s="24"/>
      <c r="B96" s="24"/>
      <c r="C96" s="24"/>
      <c r="D96" s="81"/>
      <c r="E96" s="81"/>
      <c r="F96" s="81"/>
      <c r="G96" s="81"/>
      <c r="H96" s="24"/>
      <c r="I96" s="2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</row>
    <row r="97" ht="17.25" customHeight="1">
      <c r="A97" s="24"/>
      <c r="B97" s="24"/>
      <c r="C97" s="24"/>
      <c r="D97" s="81"/>
      <c r="E97" s="81"/>
      <c r="F97" s="81"/>
      <c r="G97" s="81"/>
      <c r="H97" s="24"/>
      <c r="I97" s="2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</row>
    <row r="98" ht="17.25" customHeight="1">
      <c r="A98" s="24"/>
      <c r="B98" s="24"/>
      <c r="C98" s="24"/>
      <c r="D98" s="81"/>
      <c r="E98" s="81"/>
      <c r="F98" s="81"/>
      <c r="G98" s="81"/>
      <c r="H98" s="24"/>
      <c r="I98" s="2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</row>
    <row r="99" ht="17.25" customHeight="1">
      <c r="A99" s="24"/>
      <c r="B99" s="24"/>
      <c r="C99" s="24"/>
      <c r="D99" s="81"/>
      <c r="E99" s="81"/>
      <c r="F99" s="81"/>
      <c r="G99" s="81"/>
      <c r="H99" s="24"/>
      <c r="I99" s="2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</row>
    <row r="100" ht="17.25" customHeight="1">
      <c r="A100" s="24"/>
      <c r="B100" s="24"/>
      <c r="C100" s="24"/>
      <c r="D100" s="81"/>
      <c r="E100" s="81"/>
      <c r="F100" s="81"/>
      <c r="G100" s="81"/>
      <c r="H100" s="24"/>
      <c r="I100" s="2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</row>
    <row r="101" ht="17.25" customHeight="1">
      <c r="A101" s="24"/>
      <c r="B101" s="24"/>
      <c r="C101" s="24"/>
      <c r="D101" s="81"/>
      <c r="E101" s="81"/>
      <c r="F101" s="81"/>
      <c r="G101" s="81"/>
      <c r="H101" s="24"/>
      <c r="I101" s="2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</row>
    <row r="102" ht="17.25" customHeight="1">
      <c r="A102" s="24"/>
      <c r="B102" s="24"/>
      <c r="C102" s="24"/>
      <c r="D102" s="81"/>
      <c r="E102" s="81"/>
      <c r="F102" s="81"/>
      <c r="G102" s="81"/>
      <c r="H102" s="24"/>
      <c r="I102" s="2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</row>
    <row r="103" ht="17.25" customHeight="1">
      <c r="A103" s="24"/>
      <c r="B103" s="24"/>
      <c r="C103" s="24"/>
      <c r="D103" s="81"/>
      <c r="E103" s="81"/>
      <c r="F103" s="81"/>
      <c r="G103" s="81"/>
      <c r="H103" s="24"/>
      <c r="I103" s="2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</row>
    <row r="104" ht="17.25" customHeight="1">
      <c r="A104" s="24"/>
      <c r="B104" s="24"/>
      <c r="C104" s="24"/>
      <c r="D104" s="81"/>
      <c r="E104" s="81"/>
      <c r="F104" s="81"/>
      <c r="G104" s="81"/>
      <c r="H104" s="24"/>
      <c r="I104" s="2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</row>
    <row r="105" ht="17.25" customHeight="1">
      <c r="A105" s="24"/>
      <c r="B105" s="24"/>
      <c r="C105" s="24"/>
      <c r="D105" s="81"/>
      <c r="E105" s="81"/>
      <c r="F105" s="81"/>
      <c r="G105" s="81"/>
      <c r="H105" s="24"/>
      <c r="I105" s="2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</row>
    <row r="106" ht="17.25" customHeight="1">
      <c r="A106" s="24"/>
      <c r="B106" s="24"/>
      <c r="C106" s="24"/>
      <c r="D106" s="81"/>
      <c r="E106" s="81"/>
      <c r="F106" s="81"/>
      <c r="G106" s="81"/>
      <c r="H106" s="24"/>
      <c r="I106" s="2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</row>
    <row r="107" ht="17.25" customHeight="1">
      <c r="A107" s="24"/>
      <c r="B107" s="24"/>
      <c r="C107" s="24"/>
      <c r="D107" s="81"/>
      <c r="E107" s="81"/>
      <c r="F107" s="81"/>
      <c r="G107" s="81"/>
      <c r="H107" s="24"/>
      <c r="I107" s="2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</row>
    <row r="108" ht="17.25" customHeight="1">
      <c r="A108" s="24"/>
      <c r="B108" s="24"/>
      <c r="C108" s="24"/>
      <c r="D108" s="81"/>
      <c r="E108" s="81"/>
      <c r="F108" s="81"/>
      <c r="G108" s="81"/>
      <c r="H108" s="24"/>
      <c r="I108" s="2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</row>
    <row r="109" ht="17.25" customHeight="1">
      <c r="A109" s="24"/>
      <c r="B109" s="24"/>
      <c r="C109" s="24"/>
      <c r="D109" s="81"/>
      <c r="E109" s="81"/>
      <c r="F109" s="81"/>
      <c r="G109" s="81"/>
      <c r="H109" s="24"/>
      <c r="I109" s="2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</row>
    <row r="110" ht="17.25" customHeight="1">
      <c r="A110" s="24"/>
      <c r="B110" s="24"/>
      <c r="C110" s="24"/>
      <c r="D110" s="81"/>
      <c r="E110" s="81"/>
      <c r="F110" s="81"/>
      <c r="G110" s="81"/>
      <c r="H110" s="24"/>
      <c r="I110" s="2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</row>
    <row r="111" ht="17.25" customHeight="1">
      <c r="A111" s="24"/>
      <c r="B111" s="24"/>
      <c r="C111" s="24"/>
      <c r="D111" s="81"/>
      <c r="E111" s="81"/>
      <c r="F111" s="81"/>
      <c r="G111" s="81"/>
      <c r="H111" s="24"/>
      <c r="I111" s="2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</row>
    <row r="112" ht="17.25" customHeight="1">
      <c r="A112" s="24"/>
      <c r="B112" s="24"/>
      <c r="C112" s="24"/>
      <c r="D112" s="81"/>
      <c r="E112" s="81"/>
      <c r="F112" s="81"/>
      <c r="G112" s="81"/>
      <c r="H112" s="24"/>
      <c r="I112" s="2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</row>
    <row r="113" ht="17.25" customHeight="1">
      <c r="A113" s="24"/>
      <c r="B113" s="24"/>
      <c r="C113" s="24"/>
      <c r="D113" s="81"/>
      <c r="E113" s="81"/>
      <c r="F113" s="81"/>
      <c r="G113" s="81"/>
      <c r="H113" s="24"/>
      <c r="I113" s="2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</row>
    <row r="114" ht="17.25" customHeight="1">
      <c r="A114" s="24"/>
      <c r="B114" s="24"/>
      <c r="C114" s="24"/>
      <c r="D114" s="81"/>
      <c r="E114" s="81"/>
      <c r="F114" s="81"/>
      <c r="G114" s="81"/>
      <c r="H114" s="24"/>
      <c r="I114" s="2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</row>
    <row r="115" ht="17.25" customHeight="1">
      <c r="A115" s="24"/>
      <c r="B115" s="24"/>
      <c r="C115" s="24"/>
      <c r="D115" s="81"/>
      <c r="E115" s="81"/>
      <c r="F115" s="81"/>
      <c r="G115" s="81"/>
      <c r="H115" s="24"/>
      <c r="I115" s="2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</row>
    <row r="116" ht="17.25" customHeight="1">
      <c r="A116" s="24"/>
      <c r="B116" s="24"/>
      <c r="C116" s="24"/>
      <c r="D116" s="81"/>
      <c r="E116" s="81"/>
      <c r="F116" s="81"/>
      <c r="G116" s="81"/>
      <c r="H116" s="24"/>
      <c r="I116" s="2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</row>
    <row r="117" ht="17.25" customHeight="1">
      <c r="A117" s="24"/>
      <c r="B117" s="24"/>
      <c r="C117" s="24"/>
      <c r="D117" s="81"/>
      <c r="E117" s="81"/>
      <c r="F117" s="81"/>
      <c r="G117" s="81"/>
      <c r="H117" s="24"/>
      <c r="I117" s="2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</row>
    <row r="118" ht="17.25" customHeight="1">
      <c r="A118" s="24"/>
      <c r="B118" s="24"/>
      <c r="C118" s="24"/>
      <c r="D118" s="81"/>
      <c r="E118" s="81"/>
      <c r="F118" s="81"/>
      <c r="G118" s="81"/>
      <c r="H118" s="24"/>
      <c r="I118" s="2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</row>
    <row r="119" ht="17.25" customHeight="1">
      <c r="A119" s="24"/>
      <c r="B119" s="24"/>
      <c r="C119" s="24"/>
      <c r="D119" s="81"/>
      <c r="E119" s="81"/>
      <c r="F119" s="81"/>
      <c r="G119" s="81"/>
      <c r="H119" s="24"/>
      <c r="I119" s="2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</row>
    <row r="120" ht="17.25" customHeight="1">
      <c r="A120" s="24"/>
      <c r="B120" s="24"/>
      <c r="C120" s="24"/>
      <c r="D120" s="81"/>
      <c r="E120" s="81"/>
      <c r="F120" s="81"/>
      <c r="G120" s="81"/>
      <c r="H120" s="24"/>
      <c r="I120" s="2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</row>
    <row r="121" ht="17.25" customHeight="1">
      <c r="A121" s="24"/>
      <c r="B121" s="24"/>
      <c r="C121" s="24"/>
      <c r="D121" s="81"/>
      <c r="E121" s="81"/>
      <c r="F121" s="81"/>
      <c r="G121" s="81"/>
      <c r="H121" s="24"/>
      <c r="I121" s="2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</row>
    <row r="122" ht="17.25" customHeight="1">
      <c r="A122" s="24"/>
      <c r="B122" s="24"/>
      <c r="C122" s="24"/>
      <c r="D122" s="81"/>
      <c r="E122" s="81"/>
      <c r="F122" s="81"/>
      <c r="G122" s="81"/>
      <c r="H122" s="24"/>
      <c r="I122" s="2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</row>
    <row r="123" ht="17.25" customHeight="1">
      <c r="A123" s="24"/>
      <c r="B123" s="24"/>
      <c r="C123" s="24"/>
      <c r="D123" s="81"/>
      <c r="E123" s="81"/>
      <c r="F123" s="81"/>
      <c r="G123" s="81"/>
      <c r="H123" s="24"/>
      <c r="I123" s="2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</row>
    <row r="124" ht="17.25" customHeight="1">
      <c r="A124" s="24"/>
      <c r="B124" s="24"/>
      <c r="C124" s="24"/>
      <c r="D124" s="81"/>
      <c r="E124" s="81"/>
      <c r="F124" s="81"/>
      <c r="G124" s="81"/>
      <c r="H124" s="24"/>
      <c r="I124" s="2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</row>
    <row r="125" ht="17.25" customHeight="1">
      <c r="A125" s="24"/>
      <c r="B125" s="24"/>
      <c r="C125" s="24"/>
      <c r="D125" s="81"/>
      <c r="E125" s="81"/>
      <c r="F125" s="81"/>
      <c r="G125" s="81"/>
      <c r="H125" s="24"/>
      <c r="I125" s="2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</row>
    <row r="126" ht="17.25" customHeight="1">
      <c r="A126" s="24"/>
      <c r="B126" s="24"/>
      <c r="C126" s="24"/>
      <c r="D126" s="81"/>
      <c r="E126" s="81"/>
      <c r="F126" s="81"/>
      <c r="G126" s="81"/>
      <c r="H126" s="24"/>
      <c r="I126" s="2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</row>
    <row r="127" ht="17.25" customHeight="1">
      <c r="A127" s="24"/>
      <c r="B127" s="24"/>
      <c r="C127" s="24"/>
      <c r="D127" s="81"/>
      <c r="E127" s="81"/>
      <c r="F127" s="81"/>
      <c r="G127" s="81"/>
      <c r="H127" s="24"/>
      <c r="I127" s="2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</row>
    <row r="128" ht="17.25" customHeight="1">
      <c r="A128" s="24"/>
      <c r="B128" s="24"/>
      <c r="C128" s="24"/>
      <c r="D128" s="81"/>
      <c r="E128" s="81"/>
      <c r="F128" s="81"/>
      <c r="G128" s="81"/>
      <c r="H128" s="24"/>
      <c r="I128" s="2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</row>
    <row r="129" ht="17.25" customHeight="1">
      <c r="A129" s="24"/>
      <c r="B129" s="24"/>
      <c r="C129" s="24"/>
      <c r="D129" s="81"/>
      <c r="E129" s="81"/>
      <c r="F129" s="81"/>
      <c r="G129" s="81"/>
      <c r="H129" s="24"/>
      <c r="I129" s="2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</row>
    <row r="130" ht="17.25" customHeight="1">
      <c r="A130" s="24"/>
      <c r="B130" s="24"/>
      <c r="C130" s="24"/>
      <c r="D130" s="81"/>
      <c r="E130" s="81"/>
      <c r="F130" s="81"/>
      <c r="G130" s="81"/>
      <c r="H130" s="24"/>
      <c r="I130" s="2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</row>
    <row r="131" ht="17.25" customHeight="1">
      <c r="A131" s="24"/>
      <c r="B131" s="24"/>
      <c r="C131" s="24"/>
      <c r="D131" s="81"/>
      <c r="E131" s="81"/>
      <c r="F131" s="81"/>
      <c r="G131" s="81"/>
      <c r="H131" s="24"/>
      <c r="I131" s="2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</row>
    <row r="132" ht="17.25" customHeight="1">
      <c r="A132" s="24"/>
      <c r="B132" s="24"/>
      <c r="C132" s="24"/>
      <c r="D132" s="81"/>
      <c r="E132" s="81"/>
      <c r="F132" s="81"/>
      <c r="G132" s="81"/>
      <c r="H132" s="24"/>
      <c r="I132" s="2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</row>
    <row r="133" ht="17.25" customHeight="1">
      <c r="A133" s="24"/>
      <c r="B133" s="24"/>
      <c r="C133" s="24"/>
      <c r="D133" s="81"/>
      <c r="E133" s="81"/>
      <c r="F133" s="81"/>
      <c r="G133" s="81"/>
      <c r="H133" s="24"/>
      <c r="I133" s="2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</row>
    <row r="134" ht="17.25" customHeight="1">
      <c r="A134" s="24"/>
      <c r="B134" s="24"/>
      <c r="C134" s="24"/>
      <c r="D134" s="81"/>
      <c r="E134" s="81"/>
      <c r="F134" s="81"/>
      <c r="G134" s="81"/>
      <c r="H134" s="24"/>
      <c r="I134" s="2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</row>
    <row r="135" ht="17.25" customHeight="1">
      <c r="A135" s="24"/>
      <c r="B135" s="24"/>
      <c r="C135" s="24"/>
      <c r="D135" s="81"/>
      <c r="E135" s="81"/>
      <c r="F135" s="81"/>
      <c r="G135" s="81"/>
      <c r="H135" s="24"/>
      <c r="I135" s="2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</row>
    <row r="136" ht="17.25" customHeight="1">
      <c r="A136" s="24"/>
      <c r="B136" s="24"/>
      <c r="C136" s="24"/>
      <c r="D136" s="81"/>
      <c r="E136" s="81"/>
      <c r="F136" s="81"/>
      <c r="G136" s="81"/>
      <c r="H136" s="24"/>
      <c r="I136" s="2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</row>
    <row r="137" ht="17.25" customHeight="1">
      <c r="A137" s="24"/>
      <c r="B137" s="24"/>
      <c r="C137" s="24"/>
      <c r="D137" s="81"/>
      <c r="E137" s="81"/>
      <c r="F137" s="81"/>
      <c r="G137" s="81"/>
      <c r="H137" s="24"/>
      <c r="I137" s="2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</row>
    <row r="138" ht="17.25" customHeight="1">
      <c r="A138" s="24"/>
      <c r="B138" s="24"/>
      <c r="C138" s="24"/>
      <c r="D138" s="81"/>
      <c r="E138" s="81"/>
      <c r="F138" s="81"/>
      <c r="G138" s="81"/>
      <c r="H138" s="24"/>
      <c r="I138" s="2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</row>
    <row r="139" ht="17.25" customHeight="1">
      <c r="A139" s="24"/>
      <c r="B139" s="24"/>
      <c r="C139" s="24"/>
      <c r="D139" s="81"/>
      <c r="E139" s="81"/>
      <c r="F139" s="81"/>
      <c r="G139" s="81"/>
      <c r="H139" s="24"/>
      <c r="I139" s="2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</row>
    <row r="140" ht="17.25" customHeight="1">
      <c r="A140" s="24"/>
      <c r="B140" s="24"/>
      <c r="C140" s="24"/>
      <c r="D140" s="81"/>
      <c r="E140" s="81"/>
      <c r="F140" s="81"/>
      <c r="G140" s="81"/>
      <c r="H140" s="24"/>
      <c r="I140" s="2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</row>
    <row r="141" ht="17.25" customHeight="1">
      <c r="A141" s="24"/>
      <c r="B141" s="24"/>
      <c r="C141" s="24"/>
      <c r="D141" s="81"/>
      <c r="E141" s="81"/>
      <c r="F141" s="81"/>
      <c r="G141" s="81"/>
      <c r="H141" s="24"/>
      <c r="I141" s="2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</row>
    <row r="142" ht="17.25" customHeight="1">
      <c r="A142" s="24"/>
      <c r="B142" s="24"/>
      <c r="C142" s="24"/>
      <c r="D142" s="81"/>
      <c r="E142" s="81"/>
      <c r="F142" s="81"/>
      <c r="G142" s="81"/>
      <c r="H142" s="24"/>
      <c r="I142" s="2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</row>
    <row r="143" ht="17.25" customHeight="1">
      <c r="A143" s="24"/>
      <c r="B143" s="24"/>
      <c r="C143" s="24"/>
      <c r="D143" s="81"/>
      <c r="E143" s="81"/>
      <c r="F143" s="81"/>
      <c r="G143" s="81"/>
      <c r="H143" s="24"/>
      <c r="I143" s="2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</row>
    <row r="144" ht="17.25" customHeight="1">
      <c r="A144" s="24"/>
      <c r="B144" s="24"/>
      <c r="C144" s="24"/>
      <c r="D144" s="81"/>
      <c r="E144" s="81"/>
      <c r="F144" s="81"/>
      <c r="G144" s="81"/>
      <c r="H144" s="24"/>
      <c r="I144" s="2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</row>
    <row r="145" ht="17.25" customHeight="1">
      <c r="A145" s="24"/>
      <c r="B145" s="24"/>
      <c r="C145" s="24"/>
      <c r="D145" s="81"/>
      <c r="E145" s="81"/>
      <c r="F145" s="81"/>
      <c r="G145" s="81"/>
      <c r="H145" s="24"/>
      <c r="I145" s="2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</row>
    <row r="146" ht="17.25" customHeight="1">
      <c r="A146" s="24"/>
      <c r="B146" s="24"/>
      <c r="C146" s="24"/>
      <c r="D146" s="81"/>
      <c r="E146" s="81"/>
      <c r="F146" s="81"/>
      <c r="G146" s="81"/>
      <c r="H146" s="24"/>
      <c r="I146" s="2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</row>
    <row r="147" ht="17.25" customHeight="1">
      <c r="A147" s="24"/>
      <c r="B147" s="24"/>
      <c r="C147" s="24"/>
      <c r="D147" s="81"/>
      <c r="E147" s="81"/>
      <c r="F147" s="81"/>
      <c r="G147" s="81"/>
      <c r="H147" s="24"/>
      <c r="I147" s="2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</row>
    <row r="148" ht="17.25" customHeight="1">
      <c r="A148" s="24"/>
      <c r="B148" s="24"/>
      <c r="C148" s="24"/>
      <c r="D148" s="81"/>
      <c r="E148" s="81"/>
      <c r="F148" s="81"/>
      <c r="G148" s="81"/>
      <c r="H148" s="24"/>
      <c r="I148" s="2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</row>
    <row r="149" ht="17.25" customHeight="1">
      <c r="A149" s="24"/>
      <c r="B149" s="24"/>
      <c r="C149" s="24"/>
      <c r="D149" s="81"/>
      <c r="E149" s="81"/>
      <c r="F149" s="81"/>
      <c r="G149" s="81"/>
      <c r="H149" s="24"/>
      <c r="I149" s="2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</row>
    <row r="150" ht="17.25" customHeight="1">
      <c r="A150" s="24"/>
      <c r="B150" s="24"/>
      <c r="C150" s="24"/>
      <c r="D150" s="81"/>
      <c r="E150" s="81"/>
      <c r="F150" s="81"/>
      <c r="G150" s="81"/>
      <c r="H150" s="24"/>
      <c r="I150" s="2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</row>
    <row r="151" ht="17.25" customHeight="1">
      <c r="A151" s="24"/>
      <c r="B151" s="24"/>
      <c r="C151" s="24"/>
      <c r="D151" s="81"/>
      <c r="E151" s="81"/>
      <c r="F151" s="81"/>
      <c r="G151" s="81"/>
      <c r="H151" s="24"/>
      <c r="I151" s="2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</row>
    <row r="152" ht="17.25" customHeight="1">
      <c r="A152" s="24"/>
      <c r="B152" s="24"/>
      <c r="C152" s="24"/>
      <c r="D152" s="81"/>
      <c r="E152" s="81"/>
      <c r="F152" s="81"/>
      <c r="G152" s="81"/>
      <c r="H152" s="24"/>
      <c r="I152" s="2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</row>
    <row r="153" ht="17.25" customHeight="1">
      <c r="A153" s="24"/>
      <c r="B153" s="24"/>
      <c r="C153" s="24"/>
      <c r="D153" s="81"/>
      <c r="E153" s="81"/>
      <c r="F153" s="81"/>
      <c r="G153" s="81"/>
      <c r="H153" s="24"/>
      <c r="I153" s="2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</row>
    <row r="154" ht="17.25" customHeight="1">
      <c r="A154" s="24"/>
      <c r="B154" s="24"/>
      <c r="C154" s="24"/>
      <c r="D154" s="81"/>
      <c r="E154" s="81"/>
      <c r="F154" s="81"/>
      <c r="G154" s="81"/>
      <c r="H154" s="24"/>
      <c r="I154" s="2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</row>
    <row r="155" ht="17.25" customHeight="1">
      <c r="A155" s="24"/>
      <c r="B155" s="24"/>
      <c r="C155" s="24"/>
      <c r="D155" s="81"/>
      <c r="E155" s="81"/>
      <c r="F155" s="81"/>
      <c r="G155" s="81"/>
      <c r="H155" s="24"/>
      <c r="I155" s="2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</row>
    <row r="156" ht="17.25" customHeight="1">
      <c r="A156" s="24"/>
      <c r="B156" s="24"/>
      <c r="C156" s="24"/>
      <c r="D156" s="81"/>
      <c r="E156" s="81"/>
      <c r="F156" s="81"/>
      <c r="G156" s="81"/>
      <c r="H156" s="24"/>
      <c r="I156" s="2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</row>
    <row r="157" ht="17.25" customHeight="1">
      <c r="A157" s="24"/>
      <c r="B157" s="24"/>
      <c r="C157" s="24"/>
      <c r="D157" s="81"/>
      <c r="E157" s="81"/>
      <c r="F157" s="81"/>
      <c r="G157" s="81"/>
      <c r="H157" s="24"/>
      <c r="I157" s="2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</row>
    <row r="158" ht="17.25" customHeight="1">
      <c r="A158" s="24"/>
      <c r="B158" s="24"/>
      <c r="C158" s="24"/>
      <c r="D158" s="81"/>
      <c r="E158" s="81"/>
      <c r="F158" s="81"/>
      <c r="G158" s="81"/>
      <c r="H158" s="24"/>
      <c r="I158" s="2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</row>
    <row r="159" ht="17.25" customHeight="1">
      <c r="A159" s="24"/>
      <c r="B159" s="24"/>
      <c r="C159" s="24"/>
      <c r="D159" s="81"/>
      <c r="E159" s="81"/>
      <c r="F159" s="81"/>
      <c r="G159" s="81"/>
      <c r="H159" s="24"/>
      <c r="I159" s="2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</row>
    <row r="160" ht="17.25" customHeight="1">
      <c r="A160" s="24"/>
      <c r="B160" s="24"/>
      <c r="C160" s="24"/>
      <c r="D160" s="81"/>
      <c r="E160" s="81"/>
      <c r="F160" s="81"/>
      <c r="G160" s="81"/>
      <c r="H160" s="24"/>
      <c r="I160" s="2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</row>
    <row r="161" ht="17.25" customHeight="1">
      <c r="A161" s="24"/>
      <c r="B161" s="24"/>
      <c r="C161" s="24"/>
      <c r="D161" s="81"/>
      <c r="E161" s="81"/>
      <c r="F161" s="81"/>
      <c r="G161" s="81"/>
      <c r="H161" s="24"/>
      <c r="I161" s="2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</row>
    <row r="162" ht="17.25" customHeight="1">
      <c r="A162" s="24"/>
      <c r="B162" s="24"/>
      <c r="C162" s="24"/>
      <c r="D162" s="81"/>
      <c r="E162" s="81"/>
      <c r="F162" s="81"/>
      <c r="G162" s="81"/>
      <c r="H162" s="24"/>
      <c r="I162" s="2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</row>
    <row r="163" ht="17.25" customHeight="1">
      <c r="A163" s="24"/>
      <c r="B163" s="24"/>
      <c r="C163" s="24"/>
      <c r="D163" s="81"/>
      <c r="E163" s="81"/>
      <c r="F163" s="81"/>
      <c r="G163" s="81"/>
      <c r="H163" s="24"/>
      <c r="I163" s="2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</row>
    <row r="164" ht="17.25" customHeight="1">
      <c r="A164" s="24"/>
      <c r="B164" s="24"/>
      <c r="C164" s="24"/>
      <c r="D164" s="81"/>
      <c r="E164" s="81"/>
      <c r="F164" s="81"/>
      <c r="G164" s="81"/>
      <c r="H164" s="24"/>
      <c r="I164" s="2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</row>
    <row r="165" ht="17.25" customHeight="1">
      <c r="A165" s="24"/>
      <c r="B165" s="24"/>
      <c r="C165" s="24"/>
      <c r="D165" s="81"/>
      <c r="E165" s="81"/>
      <c r="F165" s="81"/>
      <c r="G165" s="81"/>
      <c r="H165" s="24"/>
      <c r="I165" s="2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</row>
    <row r="166" ht="17.25" customHeight="1">
      <c r="A166" s="24"/>
      <c r="B166" s="24"/>
      <c r="C166" s="24"/>
      <c r="D166" s="81"/>
      <c r="E166" s="81"/>
      <c r="F166" s="81"/>
      <c r="G166" s="81"/>
      <c r="H166" s="24"/>
      <c r="I166" s="2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</row>
    <row r="167" ht="17.25" customHeight="1">
      <c r="A167" s="24"/>
      <c r="B167" s="24"/>
      <c r="C167" s="24"/>
      <c r="D167" s="81"/>
      <c r="E167" s="81"/>
      <c r="F167" s="81"/>
      <c r="G167" s="81"/>
      <c r="H167" s="24"/>
      <c r="I167" s="2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</row>
    <row r="168" ht="17.25" customHeight="1">
      <c r="A168" s="24"/>
      <c r="B168" s="24"/>
      <c r="C168" s="24"/>
      <c r="D168" s="81"/>
      <c r="E168" s="81"/>
      <c r="F168" s="81"/>
      <c r="G168" s="81"/>
      <c r="H168" s="24"/>
      <c r="I168" s="2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</row>
    <row r="169" ht="17.25" customHeight="1">
      <c r="A169" s="24"/>
      <c r="B169" s="24"/>
      <c r="C169" s="24"/>
      <c r="D169" s="81"/>
      <c r="E169" s="81"/>
      <c r="F169" s="81"/>
      <c r="G169" s="81"/>
      <c r="H169" s="24"/>
      <c r="I169" s="2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</row>
    <row r="170" ht="17.25" customHeight="1">
      <c r="A170" s="24"/>
      <c r="B170" s="24"/>
      <c r="C170" s="24"/>
      <c r="D170" s="81"/>
      <c r="E170" s="81"/>
      <c r="F170" s="81"/>
      <c r="G170" s="81"/>
      <c r="H170" s="24"/>
      <c r="I170" s="2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</row>
    <row r="171" ht="17.25" customHeight="1">
      <c r="A171" s="24"/>
      <c r="B171" s="24"/>
      <c r="C171" s="24"/>
      <c r="D171" s="81"/>
      <c r="E171" s="81"/>
      <c r="F171" s="81"/>
      <c r="G171" s="81"/>
      <c r="H171" s="24"/>
      <c r="I171" s="2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</row>
    <row r="172" ht="17.25" customHeight="1">
      <c r="A172" s="24"/>
      <c r="B172" s="24"/>
      <c r="C172" s="24"/>
      <c r="D172" s="81"/>
      <c r="E172" s="81"/>
      <c r="F172" s="81"/>
      <c r="G172" s="81"/>
      <c r="H172" s="24"/>
      <c r="I172" s="2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</row>
    <row r="173" ht="17.25" customHeight="1">
      <c r="A173" s="24"/>
      <c r="B173" s="24"/>
      <c r="C173" s="24"/>
      <c r="D173" s="81"/>
      <c r="E173" s="81"/>
      <c r="F173" s="81"/>
      <c r="G173" s="81"/>
      <c r="H173" s="24"/>
      <c r="I173" s="2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</row>
    <row r="174" ht="17.25" customHeight="1">
      <c r="A174" s="24"/>
      <c r="B174" s="24"/>
      <c r="C174" s="24"/>
      <c r="D174" s="81"/>
      <c r="E174" s="81"/>
      <c r="F174" s="81"/>
      <c r="G174" s="81"/>
      <c r="H174" s="24"/>
      <c r="I174" s="2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</row>
    <row r="175" ht="17.25" customHeight="1">
      <c r="A175" s="24"/>
      <c r="B175" s="24"/>
      <c r="C175" s="24"/>
      <c r="D175" s="81"/>
      <c r="E175" s="81"/>
      <c r="F175" s="81"/>
      <c r="G175" s="81"/>
      <c r="H175" s="24"/>
      <c r="I175" s="2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</row>
    <row r="176" ht="17.25" customHeight="1">
      <c r="A176" s="24"/>
      <c r="B176" s="24"/>
      <c r="C176" s="24"/>
      <c r="D176" s="81"/>
      <c r="E176" s="81"/>
      <c r="F176" s="81"/>
      <c r="G176" s="81"/>
      <c r="H176" s="24"/>
      <c r="I176" s="2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</row>
    <row r="177" ht="17.25" customHeight="1">
      <c r="A177" s="24"/>
      <c r="B177" s="24"/>
      <c r="C177" s="24"/>
      <c r="D177" s="81"/>
      <c r="E177" s="81"/>
      <c r="F177" s="81"/>
      <c r="G177" s="81"/>
      <c r="H177" s="24"/>
      <c r="I177" s="2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</row>
    <row r="178" ht="17.25" customHeight="1">
      <c r="A178" s="24"/>
      <c r="B178" s="24"/>
      <c r="C178" s="24"/>
      <c r="D178" s="81"/>
      <c r="E178" s="81"/>
      <c r="F178" s="81"/>
      <c r="G178" s="81"/>
      <c r="H178" s="24"/>
      <c r="I178" s="2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</row>
    <row r="179" ht="17.25" customHeight="1">
      <c r="A179" s="24"/>
      <c r="B179" s="24"/>
      <c r="C179" s="24"/>
      <c r="D179" s="81"/>
      <c r="E179" s="81"/>
      <c r="F179" s="81"/>
      <c r="G179" s="81"/>
      <c r="H179" s="24"/>
      <c r="I179" s="2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</row>
    <row r="180" ht="17.25" customHeight="1">
      <c r="A180" s="24"/>
      <c r="B180" s="24"/>
      <c r="C180" s="24"/>
      <c r="D180" s="81"/>
      <c r="E180" s="81"/>
      <c r="F180" s="81"/>
      <c r="G180" s="81"/>
      <c r="H180" s="24"/>
      <c r="I180" s="2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</row>
    <row r="181" ht="17.25" customHeight="1">
      <c r="A181" s="24"/>
      <c r="B181" s="24"/>
      <c r="C181" s="24"/>
      <c r="D181" s="81"/>
      <c r="E181" s="81"/>
      <c r="F181" s="81"/>
      <c r="G181" s="81"/>
      <c r="H181" s="24"/>
      <c r="I181" s="2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</row>
    <row r="182" ht="17.25" customHeight="1">
      <c r="A182" s="24"/>
      <c r="B182" s="24"/>
      <c r="C182" s="24"/>
      <c r="D182" s="81"/>
      <c r="E182" s="81"/>
      <c r="F182" s="81"/>
      <c r="G182" s="81"/>
      <c r="H182" s="24"/>
      <c r="I182" s="2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</row>
    <row r="183" ht="17.25" customHeight="1">
      <c r="A183" s="24"/>
      <c r="B183" s="24"/>
      <c r="C183" s="24"/>
      <c r="D183" s="81"/>
      <c r="E183" s="81"/>
      <c r="F183" s="81"/>
      <c r="G183" s="81"/>
      <c r="H183" s="24"/>
      <c r="I183" s="2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</row>
    <row r="184" ht="17.25" customHeight="1">
      <c r="A184" s="24"/>
      <c r="B184" s="24"/>
      <c r="C184" s="24"/>
      <c r="D184" s="81"/>
      <c r="E184" s="81"/>
      <c r="F184" s="81"/>
      <c r="G184" s="81"/>
      <c r="H184" s="24"/>
      <c r="I184" s="2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</row>
    <row r="185" ht="17.25" customHeight="1">
      <c r="A185" s="24"/>
      <c r="B185" s="24"/>
      <c r="C185" s="24"/>
      <c r="D185" s="81"/>
      <c r="E185" s="81"/>
      <c r="F185" s="81"/>
      <c r="G185" s="81"/>
      <c r="H185" s="24"/>
      <c r="I185" s="2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</row>
    <row r="186" ht="17.25" customHeight="1">
      <c r="A186" s="24"/>
      <c r="B186" s="24"/>
      <c r="C186" s="24"/>
      <c r="D186" s="81"/>
      <c r="E186" s="81"/>
      <c r="F186" s="81"/>
      <c r="G186" s="81"/>
      <c r="H186" s="24"/>
      <c r="I186" s="2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</row>
    <row r="187" ht="17.25" customHeight="1">
      <c r="A187" s="24"/>
      <c r="B187" s="24"/>
      <c r="C187" s="24"/>
      <c r="D187" s="81"/>
      <c r="E187" s="81"/>
      <c r="F187" s="81"/>
      <c r="G187" s="81"/>
      <c r="H187" s="24"/>
      <c r="I187" s="2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</row>
    <row r="188" ht="17.25" customHeight="1">
      <c r="A188" s="24"/>
      <c r="B188" s="24"/>
      <c r="C188" s="24"/>
      <c r="D188" s="81"/>
      <c r="E188" s="81"/>
      <c r="F188" s="81"/>
      <c r="G188" s="81"/>
      <c r="H188" s="24"/>
      <c r="I188" s="2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</row>
    <row r="189" ht="17.25" customHeight="1">
      <c r="A189" s="24"/>
      <c r="B189" s="24"/>
      <c r="C189" s="24"/>
      <c r="D189" s="81"/>
      <c r="E189" s="81"/>
      <c r="F189" s="81"/>
      <c r="G189" s="81"/>
      <c r="H189" s="24"/>
      <c r="I189" s="2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</row>
    <row r="190" ht="17.25" customHeight="1">
      <c r="A190" s="24"/>
      <c r="B190" s="24"/>
      <c r="C190" s="24"/>
      <c r="D190" s="81"/>
      <c r="E190" s="81"/>
      <c r="F190" s="81"/>
      <c r="G190" s="81"/>
      <c r="H190" s="24"/>
      <c r="I190" s="2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</row>
    <row r="191" ht="17.25" customHeight="1">
      <c r="A191" s="24"/>
      <c r="B191" s="24"/>
      <c r="C191" s="24"/>
      <c r="D191" s="81"/>
      <c r="E191" s="81"/>
      <c r="F191" s="81"/>
      <c r="G191" s="81"/>
      <c r="H191" s="24"/>
      <c r="I191" s="2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</row>
    <row r="192" ht="17.25" customHeight="1">
      <c r="A192" s="24"/>
      <c r="B192" s="24"/>
      <c r="C192" s="24"/>
      <c r="D192" s="81"/>
      <c r="E192" s="81"/>
      <c r="F192" s="81"/>
      <c r="G192" s="81"/>
      <c r="H192" s="24"/>
      <c r="I192" s="2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</row>
    <row r="193" ht="17.25" customHeight="1">
      <c r="A193" s="24"/>
      <c r="B193" s="24"/>
      <c r="C193" s="24"/>
      <c r="D193" s="81"/>
      <c r="E193" s="81"/>
      <c r="F193" s="81"/>
      <c r="G193" s="81"/>
      <c r="H193" s="24"/>
      <c r="I193" s="2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</row>
    <row r="194" ht="17.25" customHeight="1">
      <c r="A194" s="24"/>
      <c r="B194" s="24"/>
      <c r="C194" s="24"/>
      <c r="D194" s="81"/>
      <c r="E194" s="81"/>
      <c r="F194" s="81"/>
      <c r="G194" s="81"/>
      <c r="H194" s="24"/>
      <c r="I194" s="2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</row>
    <row r="195" ht="17.25" customHeight="1">
      <c r="A195" s="24"/>
      <c r="B195" s="24"/>
      <c r="C195" s="24"/>
      <c r="D195" s="81"/>
      <c r="E195" s="81"/>
      <c r="F195" s="81"/>
      <c r="G195" s="81"/>
      <c r="H195" s="24"/>
      <c r="I195" s="2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</row>
    <row r="196" ht="17.25" customHeight="1">
      <c r="A196" s="24"/>
      <c r="B196" s="24"/>
      <c r="C196" s="24"/>
      <c r="D196" s="81"/>
      <c r="E196" s="81"/>
      <c r="F196" s="81"/>
      <c r="G196" s="81"/>
      <c r="H196" s="24"/>
      <c r="I196" s="2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</row>
    <row r="197" ht="17.25" customHeight="1">
      <c r="A197" s="24"/>
      <c r="B197" s="24"/>
      <c r="C197" s="24"/>
      <c r="D197" s="81"/>
      <c r="E197" s="81"/>
      <c r="F197" s="81"/>
      <c r="G197" s="81"/>
      <c r="H197" s="24"/>
      <c r="I197" s="2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</row>
    <row r="198" ht="17.25" customHeight="1">
      <c r="A198" s="24"/>
      <c r="B198" s="24"/>
      <c r="C198" s="24"/>
      <c r="D198" s="81"/>
      <c r="E198" s="81"/>
      <c r="F198" s="81"/>
      <c r="G198" s="81"/>
      <c r="H198" s="24"/>
      <c r="I198" s="2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</row>
    <row r="199" ht="17.25" customHeight="1">
      <c r="A199" s="24"/>
      <c r="B199" s="24"/>
      <c r="C199" s="24"/>
      <c r="D199" s="81"/>
      <c r="E199" s="81"/>
      <c r="F199" s="81"/>
      <c r="G199" s="81"/>
      <c r="H199" s="24"/>
      <c r="I199" s="2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</row>
    <row r="200" ht="17.25" customHeight="1">
      <c r="A200" s="24"/>
      <c r="B200" s="24"/>
      <c r="C200" s="24"/>
      <c r="D200" s="81"/>
      <c r="E200" s="81"/>
      <c r="F200" s="81"/>
      <c r="G200" s="81"/>
      <c r="H200" s="24"/>
      <c r="I200" s="2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</row>
    <row r="201" ht="17.25" customHeight="1">
      <c r="A201" s="24"/>
      <c r="B201" s="24"/>
      <c r="C201" s="24"/>
      <c r="D201" s="81"/>
      <c r="E201" s="81"/>
      <c r="F201" s="81"/>
      <c r="G201" s="81"/>
      <c r="H201" s="24"/>
      <c r="I201" s="2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</row>
    <row r="202" ht="17.25" customHeight="1">
      <c r="A202" s="24"/>
      <c r="B202" s="24"/>
      <c r="C202" s="24"/>
      <c r="D202" s="81"/>
      <c r="E202" s="81"/>
      <c r="F202" s="81"/>
      <c r="G202" s="81"/>
      <c r="H202" s="24"/>
      <c r="I202" s="2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</row>
    <row r="203" ht="17.25" customHeight="1">
      <c r="A203" s="24"/>
      <c r="B203" s="24"/>
      <c r="C203" s="24"/>
      <c r="D203" s="81"/>
      <c r="E203" s="81"/>
      <c r="F203" s="81"/>
      <c r="G203" s="81"/>
      <c r="H203" s="24"/>
      <c r="I203" s="2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</row>
    <row r="204" ht="17.25" customHeight="1">
      <c r="A204" s="24"/>
      <c r="B204" s="24"/>
      <c r="C204" s="24"/>
      <c r="D204" s="81"/>
      <c r="E204" s="81"/>
      <c r="F204" s="81"/>
      <c r="G204" s="81"/>
      <c r="H204" s="24"/>
      <c r="I204" s="2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</row>
    <row r="205" ht="17.25" customHeight="1">
      <c r="A205" s="24"/>
      <c r="B205" s="24"/>
      <c r="C205" s="24"/>
      <c r="D205" s="81"/>
      <c r="E205" s="81"/>
      <c r="F205" s="81"/>
      <c r="G205" s="81"/>
      <c r="H205" s="24"/>
      <c r="I205" s="2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</row>
    <row r="206" ht="17.25" customHeight="1">
      <c r="A206" s="24"/>
      <c r="B206" s="24"/>
      <c r="C206" s="24"/>
      <c r="D206" s="81"/>
      <c r="E206" s="81"/>
      <c r="F206" s="81"/>
      <c r="G206" s="81"/>
      <c r="H206" s="24"/>
      <c r="I206" s="2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</row>
    <row r="207" ht="17.25" customHeight="1">
      <c r="A207" s="24"/>
      <c r="B207" s="24"/>
      <c r="C207" s="24"/>
      <c r="D207" s="81"/>
      <c r="E207" s="81"/>
      <c r="F207" s="81"/>
      <c r="G207" s="81"/>
      <c r="H207" s="24"/>
      <c r="I207" s="2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</row>
    <row r="208" ht="17.25" customHeight="1">
      <c r="A208" s="24"/>
      <c r="B208" s="24"/>
      <c r="C208" s="24"/>
      <c r="D208" s="81"/>
      <c r="E208" s="81"/>
      <c r="F208" s="81"/>
      <c r="G208" s="81"/>
      <c r="H208" s="24"/>
      <c r="I208" s="2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</row>
    <row r="209" ht="17.25" customHeight="1">
      <c r="A209" s="24"/>
      <c r="B209" s="24"/>
      <c r="C209" s="24"/>
      <c r="D209" s="81"/>
      <c r="E209" s="81"/>
      <c r="F209" s="81"/>
      <c r="G209" s="81"/>
      <c r="H209" s="24"/>
      <c r="I209" s="2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</row>
    <row r="210" ht="17.25" customHeight="1">
      <c r="A210" s="24"/>
      <c r="B210" s="24"/>
      <c r="C210" s="24"/>
      <c r="D210" s="81"/>
      <c r="E210" s="81"/>
      <c r="F210" s="81"/>
      <c r="G210" s="81"/>
      <c r="H210" s="24"/>
      <c r="I210" s="2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</row>
    <row r="211" ht="17.25" customHeight="1">
      <c r="A211" s="24"/>
      <c r="B211" s="24"/>
      <c r="C211" s="24"/>
      <c r="D211" s="81"/>
      <c r="E211" s="81"/>
      <c r="F211" s="81"/>
      <c r="G211" s="81"/>
      <c r="H211" s="24"/>
      <c r="I211" s="2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</row>
    <row r="212" ht="17.25" customHeight="1">
      <c r="A212" s="24"/>
      <c r="B212" s="24"/>
      <c r="C212" s="24"/>
      <c r="D212" s="81"/>
      <c r="E212" s="81"/>
      <c r="F212" s="81"/>
      <c r="G212" s="81"/>
      <c r="H212" s="24"/>
      <c r="I212" s="2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</row>
    <row r="213" ht="17.25" customHeight="1">
      <c r="A213" s="24"/>
      <c r="B213" s="24"/>
      <c r="C213" s="24"/>
      <c r="D213" s="81"/>
      <c r="E213" s="81"/>
      <c r="F213" s="81"/>
      <c r="G213" s="81"/>
      <c r="H213" s="24"/>
      <c r="I213" s="2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</row>
    <row r="214" ht="17.25" customHeight="1">
      <c r="A214" s="24"/>
      <c r="B214" s="24"/>
      <c r="C214" s="24"/>
      <c r="D214" s="81"/>
      <c r="E214" s="81"/>
      <c r="F214" s="81"/>
      <c r="G214" s="81"/>
      <c r="H214" s="24"/>
      <c r="I214" s="2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</row>
    <row r="215" ht="17.25" customHeight="1">
      <c r="A215" s="24"/>
      <c r="B215" s="24"/>
      <c r="C215" s="24"/>
      <c r="D215" s="81"/>
      <c r="E215" s="81"/>
      <c r="F215" s="81"/>
      <c r="G215" s="81"/>
      <c r="H215" s="24"/>
      <c r="I215" s="2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</row>
    <row r="216" ht="17.25" customHeight="1">
      <c r="A216" s="24"/>
      <c r="B216" s="24"/>
      <c r="C216" s="24"/>
      <c r="D216" s="81"/>
      <c r="E216" s="81"/>
      <c r="F216" s="81"/>
      <c r="G216" s="81"/>
      <c r="H216" s="24"/>
      <c r="I216" s="2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</row>
    <row r="217" ht="17.25" customHeight="1">
      <c r="A217" s="24"/>
      <c r="B217" s="24"/>
      <c r="C217" s="24"/>
      <c r="D217" s="81"/>
      <c r="E217" s="81"/>
      <c r="F217" s="81"/>
      <c r="G217" s="81"/>
      <c r="H217" s="24"/>
      <c r="I217" s="2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</row>
    <row r="218" ht="17.25" customHeight="1">
      <c r="A218" s="24"/>
      <c r="B218" s="24"/>
      <c r="C218" s="24"/>
      <c r="D218" s="81"/>
      <c r="E218" s="81"/>
      <c r="F218" s="81"/>
      <c r="G218" s="81"/>
      <c r="H218" s="24"/>
      <c r="I218" s="2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</row>
    <row r="219" ht="17.25" customHeight="1">
      <c r="A219" s="24"/>
      <c r="B219" s="24"/>
      <c r="C219" s="24"/>
      <c r="D219" s="81"/>
      <c r="E219" s="81"/>
      <c r="F219" s="81"/>
      <c r="G219" s="81"/>
      <c r="H219" s="24"/>
      <c r="I219" s="2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</row>
    <row r="220" ht="17.25" customHeight="1">
      <c r="A220" s="24"/>
      <c r="B220" s="24"/>
      <c r="C220" s="24"/>
      <c r="D220" s="81"/>
      <c r="E220" s="81"/>
      <c r="F220" s="81"/>
      <c r="G220" s="81"/>
      <c r="H220" s="24"/>
      <c r="I220" s="2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</row>
    <row r="221" ht="17.25" customHeight="1">
      <c r="A221" s="24"/>
      <c r="B221" s="24"/>
      <c r="C221" s="24"/>
      <c r="D221" s="81"/>
      <c r="E221" s="81"/>
      <c r="F221" s="81"/>
      <c r="G221" s="81"/>
      <c r="H221" s="24"/>
      <c r="I221" s="2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</row>
    <row r="222" ht="17.25" customHeight="1">
      <c r="A222" s="24"/>
      <c r="B222" s="24"/>
      <c r="C222" s="24"/>
      <c r="D222" s="81"/>
      <c r="E222" s="81"/>
      <c r="F222" s="81"/>
      <c r="G222" s="81"/>
      <c r="H222" s="24"/>
      <c r="I222" s="2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</row>
    <row r="223" ht="17.25" customHeight="1">
      <c r="A223" s="24"/>
      <c r="B223" s="24"/>
      <c r="C223" s="24"/>
      <c r="D223" s="81"/>
      <c r="E223" s="81"/>
      <c r="F223" s="81"/>
      <c r="G223" s="81"/>
      <c r="H223" s="24"/>
      <c r="I223" s="2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</row>
    <row r="224" ht="17.25" customHeight="1">
      <c r="A224" s="24"/>
      <c r="B224" s="24"/>
      <c r="C224" s="24"/>
      <c r="D224" s="81"/>
      <c r="E224" s="81"/>
      <c r="F224" s="81"/>
      <c r="G224" s="81"/>
      <c r="H224" s="24"/>
      <c r="I224" s="2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</row>
    <row r="225" ht="17.25" customHeight="1">
      <c r="A225" s="24"/>
      <c r="B225" s="24"/>
      <c r="C225" s="24"/>
      <c r="D225" s="81"/>
      <c r="E225" s="81"/>
      <c r="F225" s="81"/>
      <c r="G225" s="81"/>
      <c r="H225" s="24"/>
      <c r="I225" s="2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</row>
    <row r="226" ht="17.25" customHeight="1">
      <c r="A226" s="24"/>
      <c r="B226" s="24"/>
      <c r="C226" s="24"/>
      <c r="D226" s="81"/>
      <c r="E226" s="81"/>
      <c r="F226" s="81"/>
      <c r="G226" s="81"/>
      <c r="H226" s="24"/>
      <c r="I226" s="2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</row>
    <row r="227" ht="17.25" customHeight="1">
      <c r="A227" s="24"/>
      <c r="B227" s="24"/>
      <c r="C227" s="24"/>
      <c r="D227" s="81"/>
      <c r="E227" s="81"/>
      <c r="F227" s="81"/>
      <c r="G227" s="81"/>
      <c r="H227" s="24"/>
      <c r="I227" s="2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</row>
    <row r="228" ht="17.25" customHeight="1">
      <c r="A228" s="24"/>
      <c r="B228" s="24"/>
      <c r="C228" s="24"/>
      <c r="D228" s="81"/>
      <c r="E228" s="81"/>
      <c r="F228" s="81"/>
      <c r="G228" s="81"/>
      <c r="H228" s="24"/>
      <c r="I228" s="2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</row>
    <row r="229" ht="17.25" customHeight="1">
      <c r="A229" s="24"/>
      <c r="B229" s="24"/>
      <c r="C229" s="24"/>
      <c r="D229" s="81"/>
      <c r="E229" s="81"/>
      <c r="F229" s="81"/>
      <c r="G229" s="81"/>
      <c r="H229" s="24"/>
      <c r="I229" s="2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</row>
    <row r="230" ht="17.25" customHeight="1">
      <c r="A230" s="24"/>
      <c r="B230" s="24"/>
      <c r="C230" s="24"/>
      <c r="D230" s="81"/>
      <c r="E230" s="81"/>
      <c r="F230" s="81"/>
      <c r="G230" s="81"/>
      <c r="H230" s="24"/>
      <c r="I230" s="2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</row>
    <row r="231" ht="17.25" customHeight="1">
      <c r="A231" s="24"/>
      <c r="B231" s="24"/>
      <c r="C231" s="24"/>
      <c r="D231" s="81"/>
      <c r="E231" s="81"/>
      <c r="F231" s="81"/>
      <c r="G231" s="81"/>
      <c r="H231" s="24"/>
      <c r="I231" s="2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</row>
    <row r="232" ht="17.25" customHeight="1">
      <c r="A232" s="24"/>
      <c r="B232" s="24"/>
      <c r="C232" s="24"/>
      <c r="D232" s="81"/>
      <c r="E232" s="81"/>
      <c r="F232" s="81"/>
      <c r="G232" s="81"/>
      <c r="H232" s="24"/>
      <c r="I232" s="2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</row>
    <row r="233" ht="17.25" customHeight="1">
      <c r="A233" s="24"/>
      <c r="B233" s="24"/>
      <c r="C233" s="24"/>
      <c r="D233" s="81"/>
      <c r="E233" s="81"/>
      <c r="F233" s="81"/>
      <c r="G233" s="81"/>
      <c r="H233" s="24"/>
      <c r="I233" s="2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</row>
    <row r="234" ht="17.25" customHeight="1">
      <c r="A234" s="24"/>
      <c r="B234" s="24"/>
      <c r="C234" s="24"/>
      <c r="D234" s="81"/>
      <c r="E234" s="81"/>
      <c r="F234" s="81"/>
      <c r="G234" s="81"/>
      <c r="H234" s="24"/>
      <c r="I234" s="2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</row>
    <row r="235" ht="17.25" customHeight="1">
      <c r="A235" s="24"/>
      <c r="B235" s="24"/>
      <c r="C235" s="24"/>
      <c r="D235" s="81"/>
      <c r="E235" s="81"/>
      <c r="F235" s="81"/>
      <c r="G235" s="81"/>
      <c r="H235" s="24"/>
      <c r="I235" s="2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</row>
    <row r="236" ht="17.25" customHeight="1">
      <c r="A236" s="24"/>
      <c r="B236" s="24"/>
      <c r="C236" s="24"/>
      <c r="D236" s="81"/>
      <c r="E236" s="81"/>
      <c r="F236" s="81"/>
      <c r="G236" s="81"/>
      <c r="H236" s="24"/>
      <c r="I236" s="2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</row>
    <row r="237" ht="17.25" customHeight="1">
      <c r="A237" s="24"/>
      <c r="B237" s="24"/>
      <c r="C237" s="24"/>
      <c r="D237" s="81"/>
      <c r="E237" s="81"/>
      <c r="F237" s="81"/>
      <c r="G237" s="81"/>
      <c r="H237" s="24"/>
      <c r="I237" s="2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</row>
    <row r="238" ht="17.25" customHeight="1">
      <c r="A238" s="24"/>
      <c r="B238" s="24"/>
      <c r="C238" s="24"/>
      <c r="D238" s="81"/>
      <c r="E238" s="81"/>
      <c r="F238" s="81"/>
      <c r="G238" s="81"/>
      <c r="H238" s="24"/>
      <c r="I238" s="2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</row>
    <row r="239" ht="17.25" customHeight="1">
      <c r="A239" s="24"/>
      <c r="B239" s="24"/>
      <c r="C239" s="24"/>
      <c r="D239" s="81"/>
      <c r="E239" s="81"/>
      <c r="F239" s="81"/>
      <c r="G239" s="81"/>
      <c r="H239" s="24"/>
      <c r="I239" s="2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</row>
    <row r="240" ht="17.25" customHeight="1">
      <c r="A240" s="24"/>
      <c r="B240" s="24"/>
      <c r="C240" s="24"/>
      <c r="D240" s="81"/>
      <c r="E240" s="81"/>
      <c r="F240" s="81"/>
      <c r="G240" s="81"/>
      <c r="H240" s="24"/>
      <c r="I240" s="2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</row>
    <row r="241" ht="17.25" customHeight="1">
      <c r="A241" s="24"/>
      <c r="B241" s="24"/>
      <c r="C241" s="24"/>
      <c r="D241" s="81"/>
      <c r="E241" s="81"/>
      <c r="F241" s="81"/>
      <c r="G241" s="81"/>
      <c r="H241" s="24"/>
      <c r="I241" s="2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</row>
    <row r="242" ht="17.25" customHeight="1">
      <c r="A242" s="24"/>
      <c r="B242" s="24"/>
      <c r="C242" s="24"/>
      <c r="D242" s="81"/>
      <c r="E242" s="81"/>
      <c r="F242" s="81"/>
      <c r="G242" s="81"/>
      <c r="H242" s="24"/>
      <c r="I242" s="2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</row>
    <row r="243" ht="17.25" customHeight="1">
      <c r="A243" s="24"/>
      <c r="B243" s="24"/>
      <c r="C243" s="24"/>
      <c r="D243" s="81"/>
      <c r="E243" s="81"/>
      <c r="F243" s="81"/>
      <c r="G243" s="81"/>
      <c r="H243" s="24"/>
      <c r="I243" s="2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</row>
    <row r="244" ht="17.25" customHeight="1">
      <c r="A244" s="24"/>
      <c r="B244" s="24"/>
      <c r="C244" s="24"/>
      <c r="D244" s="81"/>
      <c r="E244" s="81"/>
      <c r="F244" s="81"/>
      <c r="G244" s="81"/>
      <c r="H244" s="24"/>
      <c r="I244" s="2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</row>
    <row r="245" ht="17.25" customHeight="1">
      <c r="A245" s="24"/>
      <c r="B245" s="24"/>
      <c r="C245" s="24"/>
      <c r="D245" s="81"/>
      <c r="E245" s="81"/>
      <c r="F245" s="81"/>
      <c r="G245" s="81"/>
      <c r="H245" s="24"/>
      <c r="I245" s="2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</row>
    <row r="246" ht="17.25" customHeight="1">
      <c r="A246" s="24"/>
      <c r="B246" s="24"/>
      <c r="C246" s="24"/>
      <c r="D246" s="81"/>
      <c r="E246" s="81"/>
      <c r="F246" s="81"/>
      <c r="G246" s="81"/>
      <c r="H246" s="24"/>
      <c r="I246" s="2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</row>
    <row r="247" ht="17.25" customHeight="1">
      <c r="A247" s="24"/>
      <c r="B247" s="24"/>
      <c r="C247" s="24"/>
      <c r="D247" s="81"/>
      <c r="E247" s="81"/>
      <c r="F247" s="81"/>
      <c r="G247" s="81"/>
      <c r="H247" s="24"/>
      <c r="I247" s="2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</row>
    <row r="248" ht="17.25" customHeight="1">
      <c r="A248" s="24"/>
      <c r="B248" s="24"/>
      <c r="C248" s="24"/>
      <c r="D248" s="81"/>
      <c r="E248" s="81"/>
      <c r="F248" s="81"/>
      <c r="G248" s="81"/>
      <c r="H248" s="24"/>
      <c r="I248" s="2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</row>
    <row r="249" ht="17.25" customHeight="1">
      <c r="A249" s="24"/>
      <c r="B249" s="24"/>
      <c r="C249" s="24"/>
      <c r="D249" s="81"/>
      <c r="E249" s="81"/>
      <c r="F249" s="81"/>
      <c r="G249" s="81"/>
      <c r="H249" s="24"/>
      <c r="I249" s="2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</row>
    <row r="250" ht="17.25" customHeight="1">
      <c r="A250" s="24"/>
      <c r="B250" s="24"/>
      <c r="C250" s="24"/>
      <c r="D250" s="81"/>
      <c r="E250" s="81"/>
      <c r="F250" s="81"/>
      <c r="G250" s="81"/>
      <c r="H250" s="24"/>
      <c r="I250" s="2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</row>
    <row r="251" ht="17.25" customHeight="1">
      <c r="A251" s="24"/>
      <c r="B251" s="24"/>
      <c r="C251" s="24"/>
      <c r="D251" s="81"/>
      <c r="E251" s="81"/>
      <c r="F251" s="81"/>
      <c r="G251" s="81"/>
      <c r="H251" s="24"/>
      <c r="I251" s="2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</row>
    <row r="252" ht="17.25" customHeight="1">
      <c r="A252" s="24"/>
      <c r="B252" s="24"/>
      <c r="C252" s="24"/>
      <c r="D252" s="81"/>
      <c r="E252" s="81"/>
      <c r="F252" s="81"/>
      <c r="G252" s="81"/>
      <c r="H252" s="24"/>
      <c r="I252" s="2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</row>
    <row r="253" ht="17.25" customHeight="1">
      <c r="A253" s="24"/>
      <c r="B253" s="24"/>
      <c r="C253" s="24"/>
      <c r="D253" s="81"/>
      <c r="E253" s="81"/>
      <c r="F253" s="81"/>
      <c r="G253" s="81"/>
      <c r="H253" s="24"/>
      <c r="I253" s="2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</row>
    <row r="254" ht="17.25" customHeight="1">
      <c r="A254" s="24"/>
      <c r="B254" s="24"/>
      <c r="C254" s="24"/>
      <c r="D254" s="81"/>
      <c r="E254" s="81"/>
      <c r="F254" s="81"/>
      <c r="G254" s="81"/>
      <c r="H254" s="24"/>
      <c r="I254" s="2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</row>
    <row r="255" ht="17.25" customHeight="1">
      <c r="A255" s="24"/>
      <c r="B255" s="24"/>
      <c r="C255" s="24"/>
      <c r="D255" s="81"/>
      <c r="E255" s="81"/>
      <c r="F255" s="81"/>
      <c r="G255" s="81"/>
      <c r="H255" s="24"/>
      <c r="I255" s="2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</row>
    <row r="256" ht="17.25" customHeight="1">
      <c r="A256" s="24"/>
      <c r="B256" s="24"/>
      <c r="C256" s="24"/>
      <c r="D256" s="81"/>
      <c r="E256" s="81"/>
      <c r="F256" s="81"/>
      <c r="G256" s="81"/>
      <c r="H256" s="24"/>
      <c r="I256" s="2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</row>
    <row r="257" ht="17.25" customHeight="1">
      <c r="A257" s="24"/>
      <c r="B257" s="24"/>
      <c r="C257" s="24"/>
      <c r="D257" s="81"/>
      <c r="E257" s="81"/>
      <c r="F257" s="81"/>
      <c r="G257" s="81"/>
      <c r="H257" s="24"/>
      <c r="I257" s="2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</row>
    <row r="258" ht="17.25" customHeight="1">
      <c r="A258" s="24"/>
      <c r="B258" s="24"/>
      <c r="C258" s="24"/>
      <c r="D258" s="81"/>
      <c r="E258" s="81"/>
      <c r="F258" s="81"/>
      <c r="G258" s="81"/>
      <c r="H258" s="24"/>
      <c r="I258" s="2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</row>
    <row r="259" ht="17.25" customHeight="1">
      <c r="A259" s="24"/>
      <c r="B259" s="24"/>
      <c r="C259" s="24"/>
      <c r="D259" s="81"/>
      <c r="E259" s="81"/>
      <c r="F259" s="81"/>
      <c r="G259" s="81"/>
      <c r="H259" s="24"/>
      <c r="I259" s="2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</row>
    <row r="260" ht="17.25" customHeight="1">
      <c r="A260" s="24"/>
      <c r="B260" s="24"/>
      <c r="C260" s="24"/>
      <c r="D260" s="81"/>
      <c r="E260" s="81"/>
      <c r="F260" s="81"/>
      <c r="G260" s="81"/>
      <c r="H260" s="24"/>
      <c r="I260" s="2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</row>
    <row r="261" ht="17.25" customHeight="1">
      <c r="A261" s="24"/>
      <c r="B261" s="24"/>
      <c r="C261" s="24"/>
      <c r="D261" s="81"/>
      <c r="E261" s="81"/>
      <c r="F261" s="81"/>
      <c r="G261" s="81"/>
      <c r="H261" s="24"/>
      <c r="I261" s="2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</row>
    <row r="262" ht="17.25" customHeight="1">
      <c r="A262" s="24"/>
      <c r="B262" s="24"/>
      <c r="C262" s="24"/>
      <c r="D262" s="81"/>
      <c r="E262" s="81"/>
      <c r="F262" s="81"/>
      <c r="G262" s="81"/>
      <c r="H262" s="24"/>
      <c r="I262" s="2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</row>
    <row r="263" ht="17.25" customHeight="1">
      <c r="A263" s="24"/>
      <c r="B263" s="24"/>
      <c r="C263" s="24"/>
      <c r="D263" s="81"/>
      <c r="E263" s="81"/>
      <c r="F263" s="81"/>
      <c r="G263" s="81"/>
      <c r="H263" s="24"/>
      <c r="I263" s="2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</row>
    <row r="264" ht="17.25" customHeight="1">
      <c r="A264" s="24"/>
      <c r="B264" s="24"/>
      <c r="C264" s="24"/>
      <c r="D264" s="81"/>
      <c r="E264" s="81"/>
      <c r="F264" s="81"/>
      <c r="G264" s="81"/>
      <c r="H264" s="24"/>
      <c r="I264" s="2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</row>
    <row r="265" ht="17.25" customHeight="1">
      <c r="A265" s="24"/>
      <c r="B265" s="24"/>
      <c r="C265" s="24"/>
      <c r="D265" s="81"/>
      <c r="E265" s="81"/>
      <c r="F265" s="81"/>
      <c r="G265" s="81"/>
      <c r="H265" s="24"/>
      <c r="I265" s="2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</row>
    <row r="266" ht="17.25" customHeight="1">
      <c r="A266" s="24"/>
      <c r="B266" s="24"/>
      <c r="C266" s="24"/>
      <c r="D266" s="81"/>
      <c r="E266" s="81"/>
      <c r="F266" s="81"/>
      <c r="G266" s="81"/>
      <c r="H266" s="24"/>
      <c r="I266" s="2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</row>
    <row r="267" ht="17.25" customHeight="1">
      <c r="A267" s="24"/>
      <c r="B267" s="24"/>
      <c r="C267" s="24"/>
      <c r="D267" s="81"/>
      <c r="E267" s="81"/>
      <c r="F267" s="81"/>
      <c r="G267" s="81"/>
      <c r="H267" s="24"/>
      <c r="I267" s="2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</row>
    <row r="268" ht="17.25" customHeight="1">
      <c r="A268" s="24"/>
      <c r="B268" s="24"/>
      <c r="C268" s="24"/>
      <c r="D268" s="81"/>
      <c r="E268" s="81"/>
      <c r="F268" s="81"/>
      <c r="G268" s="81"/>
      <c r="H268" s="24"/>
      <c r="I268" s="2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</row>
    <row r="269" ht="17.25" customHeight="1">
      <c r="A269" s="24"/>
      <c r="B269" s="24"/>
      <c r="C269" s="24"/>
      <c r="D269" s="81"/>
      <c r="E269" s="81"/>
      <c r="F269" s="81"/>
      <c r="G269" s="81"/>
      <c r="H269" s="24"/>
      <c r="I269" s="2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</row>
    <row r="270" ht="17.25" customHeight="1">
      <c r="A270" s="24"/>
      <c r="B270" s="24"/>
      <c r="C270" s="24"/>
      <c r="D270" s="81"/>
      <c r="E270" s="81"/>
      <c r="F270" s="81"/>
      <c r="G270" s="81"/>
      <c r="H270" s="24"/>
      <c r="I270" s="2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</row>
    <row r="271" ht="17.25" customHeight="1">
      <c r="A271" s="24"/>
      <c r="B271" s="24"/>
      <c r="C271" s="24"/>
      <c r="D271" s="81"/>
      <c r="E271" s="81"/>
      <c r="F271" s="81"/>
      <c r="G271" s="81"/>
      <c r="H271" s="24"/>
      <c r="I271" s="2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</row>
    <row r="272" ht="17.25" customHeight="1">
      <c r="A272" s="24"/>
      <c r="B272" s="24"/>
      <c r="C272" s="24"/>
      <c r="D272" s="81"/>
      <c r="E272" s="81"/>
      <c r="F272" s="81"/>
      <c r="G272" s="81"/>
      <c r="H272" s="24"/>
      <c r="I272" s="2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</row>
    <row r="273" ht="17.25" customHeight="1">
      <c r="A273" s="24"/>
      <c r="B273" s="24"/>
      <c r="C273" s="24"/>
      <c r="D273" s="81"/>
      <c r="E273" s="81"/>
      <c r="F273" s="81"/>
      <c r="G273" s="81"/>
      <c r="H273" s="24"/>
      <c r="I273" s="2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</row>
    <row r="274" ht="17.25" customHeight="1">
      <c r="A274" s="24"/>
      <c r="B274" s="24"/>
      <c r="C274" s="24"/>
      <c r="D274" s="81"/>
      <c r="E274" s="81"/>
      <c r="F274" s="81"/>
      <c r="G274" s="81"/>
      <c r="H274" s="24"/>
      <c r="I274" s="2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</row>
    <row r="275" ht="17.25" customHeight="1">
      <c r="A275" s="24"/>
      <c r="B275" s="24"/>
      <c r="C275" s="24"/>
      <c r="D275" s="81"/>
      <c r="E275" s="81"/>
      <c r="F275" s="81"/>
      <c r="G275" s="81"/>
      <c r="H275" s="24"/>
      <c r="I275" s="2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</row>
    <row r="276" ht="17.25" customHeight="1">
      <c r="A276" s="24"/>
      <c r="B276" s="24"/>
      <c r="C276" s="24"/>
      <c r="D276" s="81"/>
      <c r="E276" s="81"/>
      <c r="F276" s="81"/>
      <c r="G276" s="81"/>
      <c r="H276" s="24"/>
      <c r="I276" s="2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</row>
    <row r="277" ht="17.25" customHeight="1">
      <c r="A277" s="24"/>
      <c r="B277" s="24"/>
      <c r="C277" s="24"/>
      <c r="D277" s="81"/>
      <c r="E277" s="81"/>
      <c r="F277" s="81"/>
      <c r="G277" s="81"/>
      <c r="H277" s="24"/>
      <c r="I277" s="2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</row>
    <row r="278" ht="17.25" customHeight="1">
      <c r="A278" s="24"/>
      <c r="B278" s="24"/>
      <c r="C278" s="24"/>
      <c r="D278" s="81"/>
      <c r="E278" s="81"/>
      <c r="F278" s="81"/>
      <c r="G278" s="81"/>
      <c r="H278" s="24"/>
      <c r="I278" s="2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</row>
    <row r="279" ht="17.25" customHeight="1">
      <c r="A279" s="24"/>
      <c r="B279" s="24"/>
      <c r="C279" s="24"/>
      <c r="D279" s="81"/>
      <c r="E279" s="81"/>
      <c r="F279" s="81"/>
      <c r="G279" s="81"/>
      <c r="H279" s="24"/>
      <c r="I279" s="2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</row>
    <row r="280" ht="17.25" customHeight="1">
      <c r="A280" s="24"/>
      <c r="B280" s="24"/>
      <c r="C280" s="24"/>
      <c r="D280" s="81"/>
      <c r="E280" s="81"/>
      <c r="F280" s="81"/>
      <c r="G280" s="81"/>
      <c r="H280" s="24"/>
      <c r="I280" s="2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</row>
    <row r="281" ht="17.25" customHeight="1">
      <c r="A281" s="24"/>
      <c r="B281" s="24"/>
      <c r="C281" s="24"/>
      <c r="D281" s="81"/>
      <c r="E281" s="81"/>
      <c r="F281" s="81"/>
      <c r="G281" s="81"/>
      <c r="H281" s="24"/>
      <c r="I281" s="2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</row>
    <row r="282" ht="17.25" customHeight="1">
      <c r="A282" s="24"/>
      <c r="B282" s="24"/>
      <c r="C282" s="24"/>
      <c r="D282" s="81"/>
      <c r="E282" s="81"/>
      <c r="F282" s="81"/>
      <c r="G282" s="81"/>
      <c r="H282" s="24"/>
      <c r="I282" s="2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</row>
    <row r="283" ht="17.25" customHeight="1">
      <c r="A283" s="24"/>
      <c r="B283" s="24"/>
      <c r="C283" s="24"/>
      <c r="D283" s="81"/>
      <c r="E283" s="81"/>
      <c r="F283" s="81"/>
      <c r="G283" s="81"/>
      <c r="H283" s="24"/>
      <c r="I283" s="2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</row>
    <row r="284" ht="17.25" customHeight="1">
      <c r="A284" s="24"/>
      <c r="B284" s="24"/>
      <c r="C284" s="24"/>
      <c r="D284" s="81"/>
      <c r="E284" s="81"/>
      <c r="F284" s="81"/>
      <c r="G284" s="81"/>
      <c r="H284" s="24"/>
      <c r="I284" s="2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</row>
    <row r="285" ht="17.25" customHeight="1">
      <c r="A285" s="24"/>
      <c r="B285" s="24"/>
      <c r="C285" s="24"/>
      <c r="D285" s="81"/>
      <c r="E285" s="81"/>
      <c r="F285" s="81"/>
      <c r="G285" s="81"/>
      <c r="H285" s="24"/>
      <c r="I285" s="2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</row>
    <row r="286" ht="17.25" customHeight="1">
      <c r="A286" s="24"/>
      <c r="B286" s="24"/>
      <c r="C286" s="24"/>
      <c r="D286" s="81"/>
      <c r="E286" s="81"/>
      <c r="F286" s="81"/>
      <c r="G286" s="81"/>
      <c r="H286" s="24"/>
      <c r="I286" s="2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</row>
    <row r="287" ht="17.25" customHeight="1">
      <c r="A287" s="24"/>
      <c r="B287" s="24"/>
      <c r="C287" s="24"/>
      <c r="D287" s="81"/>
      <c r="E287" s="81"/>
      <c r="F287" s="81"/>
      <c r="G287" s="81"/>
      <c r="H287" s="24"/>
      <c r="I287" s="2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</row>
    <row r="288" ht="17.25" customHeight="1">
      <c r="A288" s="24"/>
      <c r="B288" s="24"/>
      <c r="C288" s="24"/>
      <c r="D288" s="81"/>
      <c r="E288" s="81"/>
      <c r="F288" s="81"/>
      <c r="G288" s="81"/>
      <c r="H288" s="24"/>
      <c r="I288" s="2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</row>
    <row r="289" ht="17.25" customHeight="1">
      <c r="A289" s="24"/>
      <c r="B289" s="24"/>
      <c r="C289" s="24"/>
      <c r="D289" s="81"/>
      <c r="E289" s="81"/>
      <c r="F289" s="81"/>
      <c r="G289" s="81"/>
      <c r="H289" s="24"/>
      <c r="I289" s="2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</row>
    <row r="290" ht="17.25" customHeight="1">
      <c r="A290" s="24"/>
      <c r="B290" s="24"/>
      <c r="C290" s="24"/>
      <c r="D290" s="81"/>
      <c r="E290" s="81"/>
      <c r="F290" s="81"/>
      <c r="G290" s="81"/>
      <c r="H290" s="24"/>
      <c r="I290" s="2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</row>
    <row r="291" ht="17.25" customHeight="1">
      <c r="A291" s="24"/>
      <c r="B291" s="24"/>
      <c r="C291" s="24"/>
      <c r="D291" s="81"/>
      <c r="E291" s="81"/>
      <c r="F291" s="81"/>
      <c r="G291" s="81"/>
      <c r="H291" s="24"/>
      <c r="I291" s="2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</row>
    <row r="292" ht="17.25" customHeight="1">
      <c r="A292" s="24"/>
      <c r="B292" s="24"/>
      <c r="C292" s="24"/>
      <c r="D292" s="81"/>
      <c r="E292" s="81"/>
      <c r="F292" s="81"/>
      <c r="G292" s="81"/>
      <c r="H292" s="24"/>
      <c r="I292" s="2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</row>
    <row r="293" ht="17.25" customHeight="1">
      <c r="A293" s="24"/>
      <c r="B293" s="24"/>
      <c r="C293" s="24"/>
      <c r="D293" s="81"/>
      <c r="E293" s="81"/>
      <c r="F293" s="81"/>
      <c r="G293" s="81"/>
      <c r="H293" s="24"/>
      <c r="I293" s="2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</row>
    <row r="294" ht="17.25" customHeight="1">
      <c r="A294" s="24"/>
      <c r="B294" s="24"/>
      <c r="C294" s="24"/>
      <c r="D294" s="81"/>
      <c r="E294" s="81"/>
      <c r="F294" s="81"/>
      <c r="G294" s="81"/>
      <c r="H294" s="24"/>
      <c r="I294" s="2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</row>
    <row r="295" ht="17.25" customHeight="1">
      <c r="A295" s="24"/>
      <c r="B295" s="24"/>
      <c r="C295" s="24"/>
      <c r="D295" s="81"/>
      <c r="E295" s="81"/>
      <c r="F295" s="81"/>
      <c r="G295" s="81"/>
      <c r="H295" s="24"/>
      <c r="I295" s="2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</row>
    <row r="296" ht="17.25" customHeight="1">
      <c r="A296" s="24"/>
      <c r="B296" s="24"/>
      <c r="C296" s="24"/>
      <c r="D296" s="81"/>
      <c r="E296" s="81"/>
      <c r="F296" s="81"/>
      <c r="G296" s="81"/>
      <c r="H296" s="24"/>
      <c r="I296" s="2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</row>
    <row r="297" ht="17.25" customHeight="1">
      <c r="A297" s="24"/>
      <c r="B297" s="24"/>
      <c r="C297" s="24"/>
      <c r="D297" s="81"/>
      <c r="E297" s="81"/>
      <c r="F297" s="81"/>
      <c r="G297" s="81"/>
      <c r="H297" s="24"/>
      <c r="I297" s="2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</row>
    <row r="298" ht="17.25" customHeight="1">
      <c r="A298" s="24"/>
      <c r="B298" s="24"/>
      <c r="C298" s="24"/>
      <c r="D298" s="81"/>
      <c r="E298" s="81"/>
      <c r="F298" s="81"/>
      <c r="G298" s="81"/>
      <c r="H298" s="24"/>
      <c r="I298" s="2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</row>
    <row r="299" ht="17.25" customHeight="1">
      <c r="A299" s="24"/>
      <c r="B299" s="24"/>
      <c r="C299" s="24"/>
      <c r="D299" s="81"/>
      <c r="E299" s="81"/>
      <c r="F299" s="81"/>
      <c r="G299" s="81"/>
      <c r="H299" s="24"/>
      <c r="I299" s="2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</row>
    <row r="300" ht="17.25" customHeight="1">
      <c r="A300" s="24"/>
      <c r="B300" s="24"/>
      <c r="C300" s="24"/>
      <c r="D300" s="81"/>
      <c r="E300" s="81"/>
      <c r="F300" s="81"/>
      <c r="G300" s="81"/>
      <c r="H300" s="24"/>
      <c r="I300" s="2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</row>
    <row r="301" ht="17.25" customHeight="1">
      <c r="A301" s="24"/>
      <c r="B301" s="24"/>
      <c r="C301" s="24"/>
      <c r="D301" s="81"/>
      <c r="E301" s="81"/>
      <c r="F301" s="81"/>
      <c r="G301" s="81"/>
      <c r="H301" s="24"/>
      <c r="I301" s="2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</row>
    <row r="302" ht="17.25" customHeight="1">
      <c r="A302" s="24"/>
      <c r="B302" s="24"/>
      <c r="C302" s="24"/>
      <c r="D302" s="81"/>
      <c r="E302" s="81"/>
      <c r="F302" s="81"/>
      <c r="G302" s="81"/>
      <c r="H302" s="24"/>
      <c r="I302" s="2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</row>
    <row r="303" ht="17.25" customHeight="1">
      <c r="A303" s="24"/>
      <c r="B303" s="24"/>
      <c r="C303" s="24"/>
      <c r="D303" s="81"/>
      <c r="E303" s="81"/>
      <c r="F303" s="81"/>
      <c r="G303" s="81"/>
      <c r="H303" s="24"/>
      <c r="I303" s="2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</row>
    <row r="304" ht="17.25" customHeight="1">
      <c r="A304" s="24"/>
      <c r="B304" s="24"/>
      <c r="C304" s="24"/>
      <c r="D304" s="81"/>
      <c r="E304" s="81"/>
      <c r="F304" s="81"/>
      <c r="G304" s="81"/>
      <c r="H304" s="24"/>
      <c r="I304" s="2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</row>
    <row r="305" ht="17.25" customHeight="1">
      <c r="A305" s="24"/>
      <c r="B305" s="24"/>
      <c r="C305" s="24"/>
      <c r="D305" s="81"/>
      <c r="E305" s="81"/>
      <c r="F305" s="81"/>
      <c r="G305" s="81"/>
      <c r="H305" s="24"/>
      <c r="I305" s="2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</row>
    <row r="306" ht="17.25" customHeight="1">
      <c r="A306" s="24"/>
      <c r="B306" s="24"/>
      <c r="C306" s="24"/>
      <c r="D306" s="81"/>
      <c r="E306" s="81"/>
      <c r="F306" s="81"/>
      <c r="G306" s="81"/>
      <c r="H306" s="24"/>
      <c r="I306" s="2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</row>
    <row r="307" ht="17.25" customHeight="1">
      <c r="A307" s="24"/>
      <c r="B307" s="24"/>
      <c r="C307" s="24"/>
      <c r="D307" s="81"/>
      <c r="E307" s="81"/>
      <c r="F307" s="81"/>
      <c r="G307" s="81"/>
      <c r="H307" s="24"/>
      <c r="I307" s="2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</row>
    <row r="308" ht="17.25" customHeight="1">
      <c r="A308" s="24"/>
      <c r="B308" s="24"/>
      <c r="C308" s="24"/>
      <c r="D308" s="81"/>
      <c r="E308" s="81"/>
      <c r="F308" s="81"/>
      <c r="G308" s="81"/>
      <c r="H308" s="24"/>
      <c r="I308" s="2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</row>
    <row r="309" ht="17.25" customHeight="1">
      <c r="A309" s="24"/>
      <c r="B309" s="24"/>
      <c r="C309" s="24"/>
      <c r="D309" s="81"/>
      <c r="E309" s="81"/>
      <c r="F309" s="81"/>
      <c r="G309" s="81"/>
      <c r="H309" s="24"/>
      <c r="I309" s="2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</row>
    <row r="310" ht="17.25" customHeight="1">
      <c r="A310" s="24"/>
      <c r="B310" s="24"/>
      <c r="C310" s="24"/>
      <c r="D310" s="81"/>
      <c r="E310" s="81"/>
      <c r="F310" s="81"/>
      <c r="G310" s="81"/>
      <c r="H310" s="24"/>
      <c r="I310" s="2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</row>
    <row r="311" ht="17.25" customHeight="1">
      <c r="A311" s="24"/>
      <c r="B311" s="24"/>
      <c r="C311" s="24"/>
      <c r="D311" s="81"/>
      <c r="E311" s="81"/>
      <c r="F311" s="81"/>
      <c r="G311" s="81"/>
      <c r="H311" s="24"/>
      <c r="I311" s="2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</row>
    <row r="312" ht="17.25" customHeight="1">
      <c r="A312" s="24"/>
      <c r="B312" s="24"/>
      <c r="C312" s="24"/>
      <c r="D312" s="81"/>
      <c r="E312" s="81"/>
      <c r="F312" s="81"/>
      <c r="G312" s="81"/>
      <c r="H312" s="24"/>
      <c r="I312" s="2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</row>
    <row r="313" ht="17.25" customHeight="1">
      <c r="A313" s="24"/>
      <c r="B313" s="24"/>
      <c r="C313" s="24"/>
      <c r="D313" s="81"/>
      <c r="E313" s="81"/>
      <c r="F313" s="81"/>
      <c r="G313" s="81"/>
      <c r="H313" s="24"/>
      <c r="I313" s="2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</row>
    <row r="314" ht="17.25" customHeight="1">
      <c r="A314" s="24"/>
      <c r="B314" s="24"/>
      <c r="C314" s="24"/>
      <c r="D314" s="81"/>
      <c r="E314" s="81"/>
      <c r="F314" s="81"/>
      <c r="G314" s="81"/>
      <c r="H314" s="24"/>
      <c r="I314" s="2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</row>
    <row r="315" ht="17.25" customHeight="1">
      <c r="A315" s="24"/>
      <c r="B315" s="24"/>
      <c r="C315" s="24"/>
      <c r="D315" s="81"/>
      <c r="E315" s="81"/>
      <c r="F315" s="81"/>
      <c r="G315" s="81"/>
      <c r="H315" s="24"/>
      <c r="I315" s="2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</row>
    <row r="316" ht="17.25" customHeight="1">
      <c r="A316" s="24"/>
      <c r="B316" s="24"/>
      <c r="C316" s="24"/>
      <c r="D316" s="81"/>
      <c r="E316" s="81"/>
      <c r="F316" s="81"/>
      <c r="G316" s="81"/>
      <c r="H316" s="24"/>
      <c r="I316" s="2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</row>
    <row r="317" ht="17.25" customHeight="1">
      <c r="A317" s="24"/>
      <c r="B317" s="24"/>
      <c r="C317" s="24"/>
      <c r="D317" s="81"/>
      <c r="E317" s="81"/>
      <c r="F317" s="81"/>
      <c r="G317" s="81"/>
      <c r="H317" s="24"/>
      <c r="I317" s="2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</row>
    <row r="318" ht="17.25" customHeight="1">
      <c r="A318" s="24"/>
      <c r="B318" s="24"/>
      <c r="C318" s="24"/>
      <c r="D318" s="81"/>
      <c r="E318" s="81"/>
      <c r="F318" s="81"/>
      <c r="G318" s="81"/>
      <c r="H318" s="24"/>
      <c r="I318" s="2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</row>
    <row r="319" ht="17.25" customHeight="1">
      <c r="A319" s="24"/>
      <c r="B319" s="24"/>
      <c r="C319" s="24"/>
      <c r="D319" s="81"/>
      <c r="E319" s="81"/>
      <c r="F319" s="81"/>
      <c r="G319" s="81"/>
      <c r="H319" s="24"/>
      <c r="I319" s="2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</row>
    <row r="320" ht="17.25" customHeight="1">
      <c r="A320" s="24"/>
      <c r="B320" s="24"/>
      <c r="C320" s="24"/>
      <c r="D320" s="81"/>
      <c r="E320" s="81"/>
      <c r="F320" s="81"/>
      <c r="G320" s="81"/>
      <c r="H320" s="24"/>
      <c r="I320" s="2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</row>
    <row r="321" ht="17.25" customHeight="1">
      <c r="A321" s="24"/>
      <c r="B321" s="24"/>
      <c r="C321" s="24"/>
      <c r="D321" s="81"/>
      <c r="E321" s="81"/>
      <c r="F321" s="81"/>
      <c r="G321" s="81"/>
      <c r="H321" s="24"/>
      <c r="I321" s="2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</row>
    <row r="322" ht="17.25" customHeight="1">
      <c r="A322" s="24"/>
      <c r="B322" s="24"/>
      <c r="C322" s="24"/>
      <c r="D322" s="81"/>
      <c r="E322" s="81"/>
      <c r="F322" s="81"/>
      <c r="G322" s="81"/>
      <c r="H322" s="24"/>
      <c r="I322" s="2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</row>
    <row r="323" ht="17.25" customHeight="1">
      <c r="A323" s="24"/>
      <c r="B323" s="24"/>
      <c r="C323" s="24"/>
      <c r="D323" s="81"/>
      <c r="E323" s="81"/>
      <c r="F323" s="81"/>
      <c r="G323" s="81"/>
      <c r="H323" s="24"/>
      <c r="I323" s="2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</row>
    <row r="324" ht="17.25" customHeight="1">
      <c r="A324" s="24"/>
      <c r="B324" s="24"/>
      <c r="C324" s="24"/>
      <c r="D324" s="81"/>
      <c r="E324" s="81"/>
      <c r="F324" s="81"/>
      <c r="G324" s="81"/>
      <c r="H324" s="24"/>
      <c r="I324" s="2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</row>
    <row r="325" ht="17.25" customHeight="1">
      <c r="A325" s="24"/>
      <c r="B325" s="24"/>
      <c r="C325" s="24"/>
      <c r="D325" s="81"/>
      <c r="E325" s="81"/>
      <c r="F325" s="81"/>
      <c r="G325" s="81"/>
      <c r="H325" s="24"/>
      <c r="I325" s="2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</row>
    <row r="326" ht="17.25" customHeight="1">
      <c r="A326" s="24"/>
      <c r="B326" s="24"/>
      <c r="C326" s="24"/>
      <c r="D326" s="81"/>
      <c r="E326" s="81"/>
      <c r="F326" s="81"/>
      <c r="G326" s="81"/>
      <c r="H326" s="24"/>
      <c r="I326" s="2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</row>
    <row r="327" ht="17.25" customHeight="1">
      <c r="A327" s="24"/>
      <c r="B327" s="24"/>
      <c r="C327" s="24"/>
      <c r="D327" s="81"/>
      <c r="E327" s="81"/>
      <c r="F327" s="81"/>
      <c r="G327" s="81"/>
      <c r="H327" s="24"/>
      <c r="I327" s="2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</row>
    <row r="328" ht="17.25" customHeight="1">
      <c r="A328" s="24"/>
      <c r="B328" s="24"/>
      <c r="C328" s="24"/>
      <c r="D328" s="81"/>
      <c r="E328" s="81"/>
      <c r="F328" s="81"/>
      <c r="G328" s="81"/>
      <c r="H328" s="24"/>
      <c r="I328" s="2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</row>
    <row r="329" ht="17.25" customHeight="1">
      <c r="A329" s="24"/>
      <c r="B329" s="24"/>
      <c r="C329" s="24"/>
      <c r="D329" s="81"/>
      <c r="E329" s="81"/>
      <c r="F329" s="81"/>
      <c r="G329" s="81"/>
      <c r="H329" s="24"/>
      <c r="I329" s="2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</row>
    <row r="330" ht="17.25" customHeight="1">
      <c r="A330" s="24"/>
      <c r="B330" s="24"/>
      <c r="C330" s="24"/>
      <c r="D330" s="81"/>
      <c r="E330" s="81"/>
      <c r="F330" s="81"/>
      <c r="G330" s="81"/>
      <c r="H330" s="24"/>
      <c r="I330" s="2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</row>
    <row r="331" ht="17.25" customHeight="1">
      <c r="A331" s="24"/>
      <c r="B331" s="24"/>
      <c r="C331" s="24"/>
      <c r="D331" s="81"/>
      <c r="E331" s="81"/>
      <c r="F331" s="81"/>
      <c r="G331" s="81"/>
      <c r="H331" s="24"/>
      <c r="I331" s="2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</row>
    <row r="332" ht="17.25" customHeight="1">
      <c r="A332" s="24"/>
      <c r="B332" s="24"/>
      <c r="C332" s="24"/>
      <c r="D332" s="81"/>
      <c r="E332" s="81"/>
      <c r="F332" s="81"/>
      <c r="G332" s="81"/>
      <c r="H332" s="24"/>
      <c r="I332" s="2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</row>
    <row r="333" ht="17.25" customHeight="1">
      <c r="A333" s="24"/>
      <c r="B333" s="24"/>
      <c r="C333" s="24"/>
      <c r="D333" s="81"/>
      <c r="E333" s="81"/>
      <c r="F333" s="81"/>
      <c r="G333" s="81"/>
      <c r="H333" s="24"/>
      <c r="I333" s="2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</row>
    <row r="334" ht="17.25" customHeight="1">
      <c r="A334" s="24"/>
      <c r="B334" s="24"/>
      <c r="C334" s="24"/>
      <c r="D334" s="81"/>
      <c r="E334" s="81"/>
      <c r="F334" s="81"/>
      <c r="G334" s="81"/>
      <c r="H334" s="24"/>
      <c r="I334" s="2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</row>
    <row r="335" ht="17.25" customHeight="1">
      <c r="A335" s="24"/>
      <c r="B335" s="24"/>
      <c r="C335" s="24"/>
      <c r="D335" s="81"/>
      <c r="E335" s="81"/>
      <c r="F335" s="81"/>
      <c r="G335" s="81"/>
      <c r="H335" s="24"/>
      <c r="I335" s="2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</row>
    <row r="336" ht="17.25" customHeight="1">
      <c r="A336" s="24"/>
      <c r="B336" s="24"/>
      <c r="C336" s="24"/>
      <c r="D336" s="81"/>
      <c r="E336" s="81"/>
      <c r="F336" s="81"/>
      <c r="G336" s="81"/>
      <c r="H336" s="24"/>
      <c r="I336" s="2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</row>
    <row r="337" ht="17.25" customHeight="1">
      <c r="A337" s="24"/>
      <c r="B337" s="24"/>
      <c r="C337" s="24"/>
      <c r="D337" s="81"/>
      <c r="E337" s="81"/>
      <c r="F337" s="81"/>
      <c r="G337" s="81"/>
      <c r="H337" s="24"/>
      <c r="I337" s="2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</row>
    <row r="338" ht="17.25" customHeight="1">
      <c r="A338" s="24"/>
      <c r="B338" s="24"/>
      <c r="C338" s="24"/>
      <c r="D338" s="81"/>
      <c r="E338" s="81"/>
      <c r="F338" s="81"/>
      <c r="G338" s="81"/>
      <c r="H338" s="24"/>
      <c r="I338" s="2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</row>
    <row r="339" ht="17.25" customHeight="1">
      <c r="A339" s="24"/>
      <c r="B339" s="24"/>
      <c r="C339" s="24"/>
      <c r="D339" s="81"/>
      <c r="E339" s="81"/>
      <c r="F339" s="81"/>
      <c r="G339" s="81"/>
      <c r="H339" s="24"/>
      <c r="I339" s="2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</row>
    <row r="340" ht="17.25" customHeight="1">
      <c r="A340" s="24"/>
      <c r="B340" s="24"/>
      <c r="C340" s="24"/>
      <c r="D340" s="81"/>
      <c r="E340" s="81"/>
      <c r="F340" s="81"/>
      <c r="G340" s="81"/>
      <c r="H340" s="24"/>
      <c r="I340" s="2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</row>
    <row r="341" ht="17.25" customHeight="1">
      <c r="A341" s="24"/>
      <c r="B341" s="24"/>
      <c r="C341" s="24"/>
      <c r="D341" s="81"/>
      <c r="E341" s="81"/>
      <c r="F341" s="81"/>
      <c r="G341" s="81"/>
      <c r="H341" s="24"/>
      <c r="I341" s="2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</row>
    <row r="342" ht="17.25" customHeight="1">
      <c r="A342" s="24"/>
      <c r="B342" s="24"/>
      <c r="C342" s="24"/>
      <c r="D342" s="81"/>
      <c r="E342" s="81"/>
      <c r="F342" s="81"/>
      <c r="G342" s="81"/>
      <c r="H342" s="24"/>
      <c r="I342" s="2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</row>
    <row r="343" ht="17.25" customHeight="1">
      <c r="A343" s="24"/>
      <c r="B343" s="24"/>
      <c r="C343" s="24"/>
      <c r="D343" s="81"/>
      <c r="E343" s="81"/>
      <c r="F343" s="81"/>
      <c r="G343" s="81"/>
      <c r="H343" s="24"/>
      <c r="I343" s="2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</row>
    <row r="344" ht="17.25" customHeight="1">
      <c r="A344" s="24"/>
      <c r="B344" s="24"/>
      <c r="C344" s="24"/>
      <c r="D344" s="81"/>
      <c r="E344" s="81"/>
      <c r="F344" s="81"/>
      <c r="G344" s="81"/>
      <c r="H344" s="24"/>
      <c r="I344" s="2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</row>
    <row r="345" ht="17.25" customHeight="1">
      <c r="A345" s="24"/>
      <c r="B345" s="24"/>
      <c r="C345" s="24"/>
      <c r="D345" s="81"/>
      <c r="E345" s="81"/>
      <c r="F345" s="81"/>
      <c r="G345" s="81"/>
      <c r="H345" s="24"/>
      <c r="I345" s="2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</row>
    <row r="346" ht="17.25" customHeight="1">
      <c r="A346" s="24"/>
      <c r="B346" s="24"/>
      <c r="C346" s="24"/>
      <c r="D346" s="81"/>
      <c r="E346" s="81"/>
      <c r="F346" s="81"/>
      <c r="G346" s="81"/>
      <c r="H346" s="24"/>
      <c r="I346" s="2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</row>
    <row r="347" ht="17.25" customHeight="1">
      <c r="A347" s="24"/>
      <c r="B347" s="24"/>
      <c r="C347" s="24"/>
      <c r="D347" s="81"/>
      <c r="E347" s="81"/>
      <c r="F347" s="81"/>
      <c r="G347" s="81"/>
      <c r="H347" s="24"/>
      <c r="I347" s="2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</row>
    <row r="348" ht="17.25" customHeight="1">
      <c r="A348" s="24"/>
      <c r="B348" s="24"/>
      <c r="C348" s="24"/>
      <c r="D348" s="81"/>
      <c r="E348" s="81"/>
      <c r="F348" s="81"/>
      <c r="G348" s="81"/>
      <c r="H348" s="24"/>
      <c r="I348" s="2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</row>
    <row r="349" ht="17.25" customHeight="1">
      <c r="A349" s="24"/>
      <c r="B349" s="24"/>
      <c r="C349" s="24"/>
      <c r="D349" s="81"/>
      <c r="E349" s="81"/>
      <c r="F349" s="81"/>
      <c r="G349" s="81"/>
      <c r="H349" s="24"/>
      <c r="I349" s="2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</row>
    <row r="350" ht="17.25" customHeight="1">
      <c r="A350" s="24"/>
      <c r="B350" s="24"/>
      <c r="C350" s="24"/>
      <c r="D350" s="81"/>
      <c r="E350" s="81"/>
      <c r="F350" s="81"/>
      <c r="G350" s="81"/>
      <c r="H350" s="24"/>
      <c r="I350" s="2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</row>
    <row r="351" ht="17.25" customHeight="1">
      <c r="A351" s="24"/>
      <c r="B351" s="24"/>
      <c r="C351" s="24"/>
      <c r="D351" s="81"/>
      <c r="E351" s="81"/>
      <c r="F351" s="81"/>
      <c r="G351" s="81"/>
      <c r="H351" s="24"/>
      <c r="I351" s="2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</row>
    <row r="352" ht="17.25" customHeight="1">
      <c r="A352" s="24"/>
      <c r="B352" s="24"/>
      <c r="C352" s="24"/>
      <c r="D352" s="81"/>
      <c r="E352" s="81"/>
      <c r="F352" s="81"/>
      <c r="G352" s="81"/>
      <c r="H352" s="24"/>
      <c r="I352" s="2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</row>
    <row r="353" ht="17.25" customHeight="1">
      <c r="A353" s="24"/>
      <c r="B353" s="24"/>
      <c r="C353" s="24"/>
      <c r="D353" s="81"/>
      <c r="E353" s="81"/>
      <c r="F353" s="81"/>
      <c r="G353" s="81"/>
      <c r="H353" s="24"/>
      <c r="I353" s="2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</row>
    <row r="354" ht="17.25" customHeight="1">
      <c r="A354" s="24"/>
      <c r="B354" s="24"/>
      <c r="C354" s="24"/>
      <c r="D354" s="81"/>
      <c r="E354" s="81"/>
      <c r="F354" s="81"/>
      <c r="G354" s="81"/>
      <c r="H354" s="24"/>
      <c r="I354" s="2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</row>
    <row r="355" ht="17.25" customHeight="1">
      <c r="A355" s="24"/>
      <c r="B355" s="24"/>
      <c r="C355" s="24"/>
      <c r="D355" s="81"/>
      <c r="E355" s="81"/>
      <c r="F355" s="81"/>
      <c r="G355" s="81"/>
      <c r="H355" s="24"/>
      <c r="I355" s="2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</row>
    <row r="356" ht="17.25" customHeight="1">
      <c r="A356" s="24"/>
      <c r="B356" s="24"/>
      <c r="C356" s="24"/>
      <c r="D356" s="81"/>
      <c r="E356" s="81"/>
      <c r="F356" s="81"/>
      <c r="G356" s="81"/>
      <c r="H356" s="24"/>
      <c r="I356" s="2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</row>
    <row r="357" ht="17.25" customHeight="1">
      <c r="A357" s="24"/>
      <c r="B357" s="24"/>
      <c r="C357" s="24"/>
      <c r="D357" s="81"/>
      <c r="E357" s="81"/>
      <c r="F357" s="81"/>
      <c r="G357" s="81"/>
      <c r="H357" s="24"/>
      <c r="I357" s="2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</row>
    <row r="358" ht="17.25" customHeight="1">
      <c r="A358" s="24"/>
      <c r="B358" s="24"/>
      <c r="C358" s="24"/>
      <c r="D358" s="81"/>
      <c r="E358" s="81"/>
      <c r="F358" s="81"/>
      <c r="G358" s="81"/>
      <c r="H358" s="24"/>
      <c r="I358" s="2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</row>
    <row r="359" ht="17.25" customHeight="1">
      <c r="A359" s="24"/>
      <c r="B359" s="24"/>
      <c r="C359" s="24"/>
      <c r="D359" s="81"/>
      <c r="E359" s="81"/>
      <c r="F359" s="81"/>
      <c r="G359" s="81"/>
      <c r="H359" s="24"/>
      <c r="I359" s="2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</row>
    <row r="360" ht="17.25" customHeight="1">
      <c r="A360" s="24"/>
      <c r="B360" s="24"/>
      <c r="C360" s="24"/>
      <c r="D360" s="81"/>
      <c r="E360" s="81"/>
      <c r="F360" s="81"/>
      <c r="G360" s="81"/>
      <c r="H360" s="24"/>
      <c r="I360" s="2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</row>
    <row r="361" ht="17.25" customHeight="1">
      <c r="A361" s="24"/>
      <c r="B361" s="24"/>
      <c r="C361" s="24"/>
      <c r="D361" s="81"/>
      <c r="E361" s="81"/>
      <c r="F361" s="81"/>
      <c r="G361" s="81"/>
      <c r="H361" s="24"/>
      <c r="I361" s="2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</row>
    <row r="362" ht="17.25" customHeight="1">
      <c r="A362" s="24"/>
      <c r="B362" s="24"/>
      <c r="C362" s="24"/>
      <c r="D362" s="81"/>
      <c r="E362" s="81"/>
      <c r="F362" s="81"/>
      <c r="G362" s="81"/>
      <c r="H362" s="24"/>
      <c r="I362" s="2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</row>
    <row r="363" ht="17.25" customHeight="1">
      <c r="A363" s="24"/>
      <c r="B363" s="24"/>
      <c r="C363" s="24"/>
      <c r="D363" s="81"/>
      <c r="E363" s="81"/>
      <c r="F363" s="81"/>
      <c r="G363" s="81"/>
      <c r="H363" s="24"/>
      <c r="I363" s="2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</row>
    <row r="364" ht="17.25" customHeight="1">
      <c r="A364" s="24"/>
      <c r="B364" s="24"/>
      <c r="C364" s="24"/>
      <c r="D364" s="81"/>
      <c r="E364" s="81"/>
      <c r="F364" s="81"/>
      <c r="G364" s="81"/>
      <c r="H364" s="24"/>
      <c r="I364" s="2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</row>
    <row r="365" ht="17.25" customHeight="1">
      <c r="A365" s="24"/>
      <c r="B365" s="24"/>
      <c r="C365" s="24"/>
      <c r="D365" s="81"/>
      <c r="E365" s="81"/>
      <c r="F365" s="81"/>
      <c r="G365" s="81"/>
      <c r="H365" s="24"/>
      <c r="I365" s="2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</row>
    <row r="366" ht="17.25" customHeight="1">
      <c r="A366" s="24"/>
      <c r="B366" s="24"/>
      <c r="C366" s="24"/>
      <c r="D366" s="81"/>
      <c r="E366" s="81"/>
      <c r="F366" s="81"/>
      <c r="G366" s="81"/>
      <c r="H366" s="24"/>
      <c r="I366" s="2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</row>
    <row r="367" ht="17.25" customHeight="1">
      <c r="A367" s="24"/>
      <c r="B367" s="24"/>
      <c r="C367" s="24"/>
      <c r="D367" s="81"/>
      <c r="E367" s="81"/>
      <c r="F367" s="81"/>
      <c r="G367" s="81"/>
      <c r="H367" s="24"/>
      <c r="I367" s="2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</row>
    <row r="368" ht="17.25" customHeight="1">
      <c r="A368" s="24"/>
      <c r="B368" s="24"/>
      <c r="C368" s="24"/>
      <c r="D368" s="81"/>
      <c r="E368" s="81"/>
      <c r="F368" s="81"/>
      <c r="G368" s="81"/>
      <c r="H368" s="24"/>
      <c r="I368" s="2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</row>
    <row r="369" ht="17.25" customHeight="1">
      <c r="A369" s="24"/>
      <c r="B369" s="24"/>
      <c r="C369" s="24"/>
      <c r="D369" s="81"/>
      <c r="E369" s="81"/>
      <c r="F369" s="81"/>
      <c r="G369" s="81"/>
      <c r="H369" s="24"/>
      <c r="I369" s="2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</row>
    <row r="370" ht="17.25" customHeight="1">
      <c r="A370" s="24"/>
      <c r="B370" s="24"/>
      <c r="C370" s="24"/>
      <c r="D370" s="81"/>
      <c r="E370" s="81"/>
      <c r="F370" s="81"/>
      <c r="G370" s="81"/>
      <c r="H370" s="24"/>
      <c r="I370" s="2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</row>
    <row r="371" ht="17.25" customHeight="1">
      <c r="A371" s="24"/>
      <c r="B371" s="24"/>
      <c r="C371" s="24"/>
      <c r="D371" s="81"/>
      <c r="E371" s="81"/>
      <c r="F371" s="81"/>
      <c r="G371" s="81"/>
      <c r="H371" s="24"/>
      <c r="I371" s="2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</row>
    <row r="372" ht="17.25" customHeight="1">
      <c r="A372" s="24"/>
      <c r="B372" s="24"/>
      <c r="C372" s="24"/>
      <c r="D372" s="81"/>
      <c r="E372" s="81"/>
      <c r="F372" s="81"/>
      <c r="G372" s="81"/>
      <c r="H372" s="24"/>
      <c r="I372" s="2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</row>
    <row r="373" ht="17.25" customHeight="1">
      <c r="A373" s="24"/>
      <c r="B373" s="24"/>
      <c r="C373" s="24"/>
      <c r="D373" s="81"/>
      <c r="E373" s="81"/>
      <c r="F373" s="81"/>
      <c r="G373" s="81"/>
      <c r="H373" s="24"/>
      <c r="I373" s="2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</row>
    <row r="374" ht="17.25" customHeight="1">
      <c r="A374" s="24"/>
      <c r="B374" s="24"/>
      <c r="C374" s="24"/>
      <c r="D374" s="81"/>
      <c r="E374" s="81"/>
      <c r="F374" s="81"/>
      <c r="G374" s="81"/>
      <c r="H374" s="24"/>
      <c r="I374" s="2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</row>
    <row r="375" ht="17.25" customHeight="1">
      <c r="A375" s="24"/>
      <c r="B375" s="24"/>
      <c r="C375" s="24"/>
      <c r="D375" s="81"/>
      <c r="E375" s="81"/>
      <c r="F375" s="81"/>
      <c r="G375" s="81"/>
      <c r="H375" s="24"/>
      <c r="I375" s="2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</row>
    <row r="376" ht="17.25" customHeight="1">
      <c r="A376" s="24"/>
      <c r="B376" s="24"/>
      <c r="C376" s="24"/>
      <c r="D376" s="81"/>
      <c r="E376" s="81"/>
      <c r="F376" s="81"/>
      <c r="G376" s="81"/>
      <c r="H376" s="24"/>
      <c r="I376" s="2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</row>
    <row r="377" ht="17.25" customHeight="1">
      <c r="A377" s="24"/>
      <c r="B377" s="24"/>
      <c r="C377" s="24"/>
      <c r="D377" s="81"/>
      <c r="E377" s="81"/>
      <c r="F377" s="81"/>
      <c r="G377" s="81"/>
      <c r="H377" s="24"/>
      <c r="I377" s="2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</row>
    <row r="378" ht="17.25" customHeight="1">
      <c r="A378" s="24"/>
      <c r="B378" s="24"/>
      <c r="C378" s="24"/>
      <c r="D378" s="81"/>
      <c r="E378" s="81"/>
      <c r="F378" s="81"/>
      <c r="G378" s="81"/>
      <c r="H378" s="24"/>
      <c r="I378" s="2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</row>
    <row r="379" ht="17.25" customHeight="1">
      <c r="A379" s="24"/>
      <c r="B379" s="24"/>
      <c r="C379" s="24"/>
      <c r="D379" s="81"/>
      <c r="E379" s="81"/>
      <c r="F379" s="81"/>
      <c r="G379" s="81"/>
      <c r="H379" s="24"/>
      <c r="I379" s="2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</row>
    <row r="380" ht="17.25" customHeight="1">
      <c r="A380" s="24"/>
      <c r="B380" s="24"/>
      <c r="C380" s="24"/>
      <c r="D380" s="81"/>
      <c r="E380" s="81"/>
      <c r="F380" s="81"/>
      <c r="G380" s="81"/>
      <c r="H380" s="24"/>
      <c r="I380" s="2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</row>
    <row r="381" ht="17.25" customHeight="1">
      <c r="A381" s="24"/>
      <c r="B381" s="24"/>
      <c r="C381" s="24"/>
      <c r="D381" s="81"/>
      <c r="E381" s="81"/>
      <c r="F381" s="81"/>
      <c r="G381" s="81"/>
      <c r="H381" s="24"/>
      <c r="I381" s="2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</row>
    <row r="382" ht="17.25" customHeight="1">
      <c r="A382" s="24"/>
      <c r="B382" s="24"/>
      <c r="C382" s="24"/>
      <c r="D382" s="81"/>
      <c r="E382" s="81"/>
      <c r="F382" s="81"/>
      <c r="G382" s="81"/>
      <c r="H382" s="24"/>
      <c r="I382" s="2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</row>
    <row r="383" ht="17.25" customHeight="1">
      <c r="A383" s="24"/>
      <c r="B383" s="24"/>
      <c r="C383" s="24"/>
      <c r="D383" s="81"/>
      <c r="E383" s="81"/>
      <c r="F383" s="81"/>
      <c r="G383" s="81"/>
      <c r="H383" s="24"/>
      <c r="I383" s="2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</row>
    <row r="384" ht="17.25" customHeight="1">
      <c r="A384" s="24"/>
      <c r="B384" s="24"/>
      <c r="C384" s="24"/>
      <c r="D384" s="81"/>
      <c r="E384" s="81"/>
      <c r="F384" s="81"/>
      <c r="G384" s="81"/>
      <c r="H384" s="24"/>
      <c r="I384" s="2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</row>
    <row r="385" ht="17.25" customHeight="1">
      <c r="A385" s="24"/>
      <c r="B385" s="24"/>
      <c r="C385" s="24"/>
      <c r="D385" s="81"/>
      <c r="E385" s="81"/>
      <c r="F385" s="81"/>
      <c r="G385" s="81"/>
      <c r="H385" s="24"/>
      <c r="I385" s="2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</row>
    <row r="386" ht="17.25" customHeight="1">
      <c r="A386" s="24"/>
      <c r="B386" s="24"/>
      <c r="C386" s="24"/>
      <c r="D386" s="81"/>
      <c r="E386" s="81"/>
      <c r="F386" s="81"/>
      <c r="G386" s="81"/>
      <c r="H386" s="24"/>
      <c r="I386" s="2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</row>
    <row r="387" ht="17.25" customHeight="1">
      <c r="A387" s="24"/>
      <c r="B387" s="24"/>
      <c r="C387" s="24"/>
      <c r="D387" s="81"/>
      <c r="E387" s="81"/>
      <c r="F387" s="81"/>
      <c r="G387" s="81"/>
      <c r="H387" s="24"/>
      <c r="I387" s="2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</row>
    <row r="388" ht="17.25" customHeight="1">
      <c r="A388" s="24"/>
      <c r="B388" s="24"/>
      <c r="C388" s="24"/>
      <c r="D388" s="81"/>
      <c r="E388" s="81"/>
      <c r="F388" s="81"/>
      <c r="G388" s="81"/>
      <c r="H388" s="24"/>
      <c r="I388" s="2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</row>
    <row r="389" ht="17.25" customHeight="1">
      <c r="A389" s="24"/>
      <c r="B389" s="24"/>
      <c r="C389" s="24"/>
      <c r="D389" s="81"/>
      <c r="E389" s="81"/>
      <c r="F389" s="81"/>
      <c r="G389" s="81"/>
      <c r="H389" s="24"/>
      <c r="I389" s="2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</row>
    <row r="390" ht="17.25" customHeight="1">
      <c r="A390" s="24"/>
      <c r="B390" s="24"/>
      <c r="C390" s="24"/>
      <c r="D390" s="81"/>
      <c r="E390" s="81"/>
      <c r="F390" s="81"/>
      <c r="G390" s="81"/>
      <c r="H390" s="24"/>
      <c r="I390" s="2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</row>
    <row r="391" ht="17.25" customHeight="1">
      <c r="A391" s="24"/>
      <c r="B391" s="24"/>
      <c r="C391" s="24"/>
      <c r="D391" s="81"/>
      <c r="E391" s="81"/>
      <c r="F391" s="81"/>
      <c r="G391" s="81"/>
      <c r="H391" s="24"/>
      <c r="I391" s="2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</row>
    <row r="392" ht="17.25" customHeight="1">
      <c r="A392" s="24"/>
      <c r="B392" s="24"/>
      <c r="C392" s="24"/>
      <c r="D392" s="81"/>
      <c r="E392" s="81"/>
      <c r="F392" s="81"/>
      <c r="G392" s="81"/>
      <c r="H392" s="24"/>
      <c r="I392" s="2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</row>
    <row r="393" ht="17.25" customHeight="1">
      <c r="A393" s="24"/>
      <c r="B393" s="24"/>
      <c r="C393" s="24"/>
      <c r="D393" s="81"/>
      <c r="E393" s="81"/>
      <c r="F393" s="81"/>
      <c r="G393" s="81"/>
      <c r="H393" s="24"/>
      <c r="I393" s="2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</row>
    <row r="394" ht="17.25" customHeight="1">
      <c r="A394" s="24"/>
      <c r="B394" s="24"/>
      <c r="C394" s="24"/>
      <c r="D394" s="81"/>
      <c r="E394" s="81"/>
      <c r="F394" s="81"/>
      <c r="G394" s="81"/>
      <c r="H394" s="24"/>
      <c r="I394" s="2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</row>
    <row r="395" ht="17.25" customHeight="1">
      <c r="A395" s="24"/>
      <c r="B395" s="24"/>
      <c r="C395" s="24"/>
      <c r="D395" s="81"/>
      <c r="E395" s="81"/>
      <c r="F395" s="81"/>
      <c r="G395" s="81"/>
      <c r="H395" s="24"/>
      <c r="I395" s="2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</row>
    <row r="396" ht="17.25" customHeight="1">
      <c r="A396" s="24"/>
      <c r="B396" s="24"/>
      <c r="C396" s="24"/>
      <c r="D396" s="81"/>
      <c r="E396" s="81"/>
      <c r="F396" s="81"/>
      <c r="G396" s="81"/>
      <c r="H396" s="24"/>
      <c r="I396" s="2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</row>
    <row r="397" ht="17.25" customHeight="1">
      <c r="A397" s="24"/>
      <c r="B397" s="24"/>
      <c r="C397" s="24"/>
      <c r="D397" s="81"/>
      <c r="E397" s="81"/>
      <c r="F397" s="81"/>
      <c r="G397" s="81"/>
      <c r="H397" s="24"/>
      <c r="I397" s="2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</row>
    <row r="398" ht="17.25" customHeight="1">
      <c r="A398" s="24"/>
      <c r="B398" s="24"/>
      <c r="C398" s="24"/>
      <c r="D398" s="81"/>
      <c r="E398" s="81"/>
      <c r="F398" s="81"/>
      <c r="G398" s="81"/>
      <c r="H398" s="24"/>
      <c r="I398" s="2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</row>
    <row r="399" ht="17.25" customHeight="1">
      <c r="A399" s="24"/>
      <c r="B399" s="24"/>
      <c r="C399" s="24"/>
      <c r="D399" s="81"/>
      <c r="E399" s="81"/>
      <c r="F399" s="81"/>
      <c r="G399" s="81"/>
      <c r="H399" s="24"/>
      <c r="I399" s="2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</row>
    <row r="400" ht="17.25" customHeight="1">
      <c r="A400" s="24"/>
      <c r="B400" s="24"/>
      <c r="C400" s="24"/>
      <c r="D400" s="81"/>
      <c r="E400" s="81"/>
      <c r="F400" s="81"/>
      <c r="G400" s="81"/>
      <c r="H400" s="24"/>
      <c r="I400" s="2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</row>
    <row r="401" ht="17.25" customHeight="1">
      <c r="A401" s="24"/>
      <c r="B401" s="24"/>
      <c r="C401" s="24"/>
      <c r="D401" s="81"/>
      <c r="E401" s="81"/>
      <c r="F401" s="81"/>
      <c r="G401" s="81"/>
      <c r="H401" s="24"/>
      <c r="I401" s="2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</row>
    <row r="402" ht="17.25" customHeight="1">
      <c r="A402" s="24"/>
      <c r="B402" s="24"/>
      <c r="C402" s="24"/>
      <c r="D402" s="81"/>
      <c r="E402" s="81"/>
      <c r="F402" s="81"/>
      <c r="G402" s="81"/>
      <c r="H402" s="24"/>
      <c r="I402" s="2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</row>
    <row r="403" ht="17.25" customHeight="1">
      <c r="A403" s="24"/>
      <c r="B403" s="24"/>
      <c r="C403" s="24"/>
      <c r="D403" s="81"/>
      <c r="E403" s="81"/>
      <c r="F403" s="81"/>
      <c r="G403" s="81"/>
      <c r="H403" s="24"/>
      <c r="I403" s="2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</row>
    <row r="404" ht="17.25" customHeight="1">
      <c r="A404" s="24"/>
      <c r="B404" s="24"/>
      <c r="C404" s="24"/>
      <c r="D404" s="81"/>
      <c r="E404" s="81"/>
      <c r="F404" s="81"/>
      <c r="G404" s="81"/>
      <c r="H404" s="24"/>
      <c r="I404" s="2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</row>
    <row r="405" ht="17.25" customHeight="1">
      <c r="A405" s="24"/>
      <c r="B405" s="24"/>
      <c r="C405" s="24"/>
      <c r="D405" s="81"/>
      <c r="E405" s="81"/>
      <c r="F405" s="81"/>
      <c r="G405" s="81"/>
      <c r="H405" s="24"/>
      <c r="I405" s="2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</row>
    <row r="406" ht="17.25" customHeight="1">
      <c r="A406" s="24"/>
      <c r="B406" s="24"/>
      <c r="C406" s="24"/>
      <c r="D406" s="81"/>
      <c r="E406" s="81"/>
      <c r="F406" s="81"/>
      <c r="G406" s="81"/>
      <c r="H406" s="24"/>
      <c r="I406" s="2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</row>
    <row r="407" ht="17.25" customHeight="1">
      <c r="A407" s="24"/>
      <c r="B407" s="24"/>
      <c r="C407" s="24"/>
      <c r="D407" s="81"/>
      <c r="E407" s="81"/>
      <c r="F407" s="81"/>
      <c r="G407" s="81"/>
      <c r="H407" s="24"/>
      <c r="I407" s="2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</row>
    <row r="408" ht="17.25" customHeight="1">
      <c r="A408" s="24"/>
      <c r="B408" s="24"/>
      <c r="C408" s="24"/>
      <c r="D408" s="81"/>
      <c r="E408" s="81"/>
      <c r="F408" s="81"/>
      <c r="G408" s="81"/>
      <c r="H408" s="24"/>
      <c r="I408" s="2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</row>
    <row r="409" ht="17.25" customHeight="1">
      <c r="A409" s="24"/>
      <c r="B409" s="24"/>
      <c r="C409" s="24"/>
      <c r="D409" s="81"/>
      <c r="E409" s="81"/>
      <c r="F409" s="81"/>
      <c r="G409" s="81"/>
      <c r="H409" s="24"/>
      <c r="I409" s="2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</row>
    <row r="410" ht="17.25" customHeight="1">
      <c r="A410" s="24"/>
      <c r="B410" s="24"/>
      <c r="C410" s="24"/>
      <c r="D410" s="81"/>
      <c r="E410" s="81"/>
      <c r="F410" s="81"/>
      <c r="G410" s="81"/>
      <c r="H410" s="24"/>
      <c r="I410" s="2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</row>
    <row r="411" ht="17.25" customHeight="1">
      <c r="A411" s="24"/>
      <c r="B411" s="24"/>
      <c r="C411" s="24"/>
      <c r="D411" s="81"/>
      <c r="E411" s="81"/>
      <c r="F411" s="81"/>
      <c r="G411" s="81"/>
      <c r="H411" s="24"/>
      <c r="I411" s="2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</row>
    <row r="412" ht="17.25" customHeight="1">
      <c r="A412" s="24"/>
      <c r="B412" s="24"/>
      <c r="C412" s="24"/>
      <c r="D412" s="81"/>
      <c r="E412" s="81"/>
      <c r="F412" s="81"/>
      <c r="G412" s="81"/>
      <c r="H412" s="24"/>
      <c r="I412" s="2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</row>
    <row r="413" ht="17.25" customHeight="1">
      <c r="A413" s="24"/>
      <c r="B413" s="24"/>
      <c r="C413" s="24"/>
      <c r="D413" s="81"/>
      <c r="E413" s="81"/>
      <c r="F413" s="81"/>
      <c r="G413" s="81"/>
      <c r="H413" s="24"/>
      <c r="I413" s="2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</row>
    <row r="414" ht="17.25" customHeight="1">
      <c r="A414" s="24"/>
      <c r="B414" s="24"/>
      <c r="C414" s="24"/>
      <c r="D414" s="81"/>
      <c r="E414" s="81"/>
      <c r="F414" s="81"/>
      <c r="G414" s="81"/>
      <c r="H414" s="24"/>
      <c r="I414" s="2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</row>
    <row r="415" ht="17.25" customHeight="1">
      <c r="A415" s="24"/>
      <c r="B415" s="24"/>
      <c r="C415" s="24"/>
      <c r="D415" s="81"/>
      <c r="E415" s="81"/>
      <c r="F415" s="81"/>
      <c r="G415" s="81"/>
      <c r="H415" s="24"/>
      <c r="I415" s="2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</row>
    <row r="416" ht="17.25" customHeight="1">
      <c r="A416" s="24"/>
      <c r="B416" s="24"/>
      <c r="C416" s="24"/>
      <c r="D416" s="81"/>
      <c r="E416" s="81"/>
      <c r="F416" s="81"/>
      <c r="G416" s="81"/>
      <c r="H416" s="24"/>
      <c r="I416" s="2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</row>
    <row r="417" ht="17.25" customHeight="1">
      <c r="A417" s="24"/>
      <c r="B417" s="24"/>
      <c r="C417" s="24"/>
      <c r="D417" s="81"/>
      <c r="E417" s="81"/>
      <c r="F417" s="81"/>
      <c r="G417" s="81"/>
      <c r="H417" s="24"/>
      <c r="I417" s="2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</row>
    <row r="418" ht="17.25" customHeight="1">
      <c r="A418" s="24"/>
      <c r="B418" s="24"/>
      <c r="C418" s="24"/>
      <c r="D418" s="81"/>
      <c r="E418" s="81"/>
      <c r="F418" s="81"/>
      <c r="G418" s="81"/>
      <c r="H418" s="24"/>
      <c r="I418" s="2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</row>
    <row r="419" ht="17.25" customHeight="1">
      <c r="A419" s="24"/>
      <c r="B419" s="24"/>
      <c r="C419" s="24"/>
      <c r="D419" s="81"/>
      <c r="E419" s="81"/>
      <c r="F419" s="81"/>
      <c r="G419" s="81"/>
      <c r="H419" s="24"/>
      <c r="I419" s="2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</row>
    <row r="420" ht="17.25" customHeight="1">
      <c r="A420" s="24"/>
      <c r="B420" s="24"/>
      <c r="C420" s="24"/>
      <c r="D420" s="81"/>
      <c r="E420" s="81"/>
      <c r="F420" s="81"/>
      <c r="G420" s="81"/>
      <c r="H420" s="24"/>
      <c r="I420" s="2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</row>
    <row r="421" ht="17.25" customHeight="1">
      <c r="A421" s="24"/>
      <c r="B421" s="24"/>
      <c r="C421" s="24"/>
      <c r="D421" s="81"/>
      <c r="E421" s="81"/>
      <c r="F421" s="81"/>
      <c r="G421" s="81"/>
      <c r="H421" s="24"/>
      <c r="I421" s="2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</row>
    <row r="422" ht="17.25" customHeight="1">
      <c r="A422" s="24"/>
      <c r="B422" s="24"/>
      <c r="C422" s="24"/>
      <c r="D422" s="81"/>
      <c r="E422" s="81"/>
      <c r="F422" s="81"/>
      <c r="G422" s="81"/>
      <c r="H422" s="24"/>
      <c r="I422" s="2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</row>
    <row r="423" ht="17.25" customHeight="1">
      <c r="A423" s="24"/>
      <c r="B423" s="24"/>
      <c r="C423" s="24"/>
      <c r="D423" s="81"/>
      <c r="E423" s="81"/>
      <c r="F423" s="81"/>
      <c r="G423" s="81"/>
      <c r="H423" s="24"/>
      <c r="I423" s="2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</row>
    <row r="424" ht="17.25" customHeight="1">
      <c r="A424" s="24"/>
      <c r="B424" s="24"/>
      <c r="C424" s="24"/>
      <c r="D424" s="81"/>
      <c r="E424" s="81"/>
      <c r="F424" s="81"/>
      <c r="G424" s="81"/>
      <c r="H424" s="24"/>
      <c r="I424" s="2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</row>
    <row r="425" ht="17.25" customHeight="1">
      <c r="A425" s="24"/>
      <c r="B425" s="24"/>
      <c r="C425" s="24"/>
      <c r="D425" s="81"/>
      <c r="E425" s="81"/>
      <c r="F425" s="81"/>
      <c r="G425" s="81"/>
      <c r="H425" s="24"/>
      <c r="I425" s="2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</row>
    <row r="426" ht="17.25" customHeight="1">
      <c r="A426" s="24"/>
      <c r="B426" s="24"/>
      <c r="C426" s="24"/>
      <c r="D426" s="81"/>
      <c r="E426" s="81"/>
      <c r="F426" s="81"/>
      <c r="G426" s="81"/>
      <c r="H426" s="24"/>
      <c r="I426" s="2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</row>
    <row r="427" ht="17.25" customHeight="1">
      <c r="A427" s="24"/>
      <c r="B427" s="24"/>
      <c r="C427" s="24"/>
      <c r="D427" s="81"/>
      <c r="E427" s="81"/>
      <c r="F427" s="81"/>
      <c r="G427" s="81"/>
      <c r="H427" s="24"/>
      <c r="I427" s="2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</row>
    <row r="428" ht="17.25" customHeight="1">
      <c r="A428" s="24"/>
      <c r="B428" s="24"/>
      <c r="C428" s="24"/>
      <c r="D428" s="81"/>
      <c r="E428" s="81"/>
      <c r="F428" s="81"/>
      <c r="G428" s="81"/>
      <c r="H428" s="24"/>
      <c r="I428" s="2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</row>
    <row r="429" ht="17.25" customHeight="1">
      <c r="A429" s="24"/>
      <c r="B429" s="24"/>
      <c r="C429" s="24"/>
      <c r="D429" s="81"/>
      <c r="E429" s="81"/>
      <c r="F429" s="81"/>
      <c r="G429" s="81"/>
      <c r="H429" s="24"/>
      <c r="I429" s="2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</row>
    <row r="430" ht="17.25" customHeight="1">
      <c r="A430" s="24"/>
      <c r="B430" s="24"/>
      <c r="C430" s="24"/>
      <c r="D430" s="81"/>
      <c r="E430" s="81"/>
      <c r="F430" s="81"/>
      <c r="G430" s="81"/>
      <c r="H430" s="24"/>
      <c r="I430" s="2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</row>
    <row r="431" ht="17.25" customHeight="1">
      <c r="A431" s="24"/>
      <c r="B431" s="24"/>
      <c r="C431" s="24"/>
      <c r="D431" s="81"/>
      <c r="E431" s="81"/>
      <c r="F431" s="81"/>
      <c r="G431" s="81"/>
      <c r="H431" s="24"/>
      <c r="I431" s="2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</row>
    <row r="432" ht="17.25" customHeight="1">
      <c r="A432" s="24"/>
      <c r="B432" s="24"/>
      <c r="C432" s="24"/>
      <c r="D432" s="81"/>
      <c r="E432" s="81"/>
      <c r="F432" s="81"/>
      <c r="G432" s="81"/>
      <c r="H432" s="24"/>
      <c r="I432" s="2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</row>
    <row r="433" ht="17.25" customHeight="1">
      <c r="A433" s="24"/>
      <c r="B433" s="24"/>
      <c r="C433" s="24"/>
      <c r="D433" s="81"/>
      <c r="E433" s="81"/>
      <c r="F433" s="81"/>
      <c r="G433" s="81"/>
      <c r="H433" s="24"/>
      <c r="I433" s="2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</row>
    <row r="434" ht="17.25" customHeight="1">
      <c r="A434" s="24"/>
      <c r="B434" s="24"/>
      <c r="C434" s="24"/>
      <c r="D434" s="81"/>
      <c r="E434" s="81"/>
      <c r="F434" s="81"/>
      <c r="G434" s="81"/>
      <c r="H434" s="24"/>
      <c r="I434" s="2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</row>
    <row r="435" ht="17.25" customHeight="1">
      <c r="A435" s="24"/>
      <c r="B435" s="24"/>
      <c r="C435" s="24"/>
      <c r="D435" s="81"/>
      <c r="E435" s="81"/>
      <c r="F435" s="81"/>
      <c r="G435" s="81"/>
      <c r="H435" s="24"/>
      <c r="I435" s="2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</row>
    <row r="436" ht="17.25" customHeight="1">
      <c r="A436" s="24"/>
      <c r="B436" s="24"/>
      <c r="C436" s="24"/>
      <c r="D436" s="81"/>
      <c r="E436" s="81"/>
      <c r="F436" s="81"/>
      <c r="G436" s="81"/>
      <c r="H436" s="24"/>
      <c r="I436" s="2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</row>
    <row r="437" ht="17.25" customHeight="1">
      <c r="A437" s="24"/>
      <c r="B437" s="24"/>
      <c r="C437" s="24"/>
      <c r="D437" s="81"/>
      <c r="E437" s="81"/>
      <c r="F437" s="81"/>
      <c r="G437" s="81"/>
      <c r="H437" s="24"/>
      <c r="I437" s="2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</row>
    <row r="438" ht="17.25" customHeight="1">
      <c r="A438" s="24"/>
      <c r="B438" s="24"/>
      <c r="C438" s="24"/>
      <c r="D438" s="81"/>
      <c r="E438" s="81"/>
      <c r="F438" s="81"/>
      <c r="G438" s="81"/>
      <c r="H438" s="24"/>
      <c r="I438" s="2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</row>
    <row r="439" ht="17.25" customHeight="1">
      <c r="A439" s="24"/>
      <c r="B439" s="24"/>
      <c r="C439" s="24"/>
      <c r="D439" s="81"/>
      <c r="E439" s="81"/>
      <c r="F439" s="81"/>
      <c r="G439" s="81"/>
      <c r="H439" s="24"/>
      <c r="I439" s="2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</row>
    <row r="440" ht="17.25" customHeight="1">
      <c r="A440" s="24"/>
      <c r="B440" s="24"/>
      <c r="C440" s="24"/>
      <c r="D440" s="81"/>
      <c r="E440" s="81"/>
      <c r="F440" s="81"/>
      <c r="G440" s="81"/>
      <c r="H440" s="24"/>
      <c r="I440" s="2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</row>
    <row r="441" ht="17.25" customHeight="1">
      <c r="A441" s="24"/>
      <c r="B441" s="24"/>
      <c r="C441" s="24"/>
      <c r="D441" s="81"/>
      <c r="E441" s="81"/>
      <c r="F441" s="81"/>
      <c r="G441" s="81"/>
      <c r="H441" s="24"/>
      <c r="I441" s="2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</row>
    <row r="442" ht="17.25" customHeight="1">
      <c r="A442" s="24"/>
      <c r="B442" s="24"/>
      <c r="C442" s="24"/>
      <c r="D442" s="81"/>
      <c r="E442" s="81"/>
      <c r="F442" s="81"/>
      <c r="G442" s="81"/>
      <c r="H442" s="24"/>
      <c r="I442" s="2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</row>
    <row r="443" ht="17.25" customHeight="1">
      <c r="A443" s="24"/>
      <c r="B443" s="24"/>
      <c r="C443" s="24"/>
      <c r="D443" s="81"/>
      <c r="E443" s="81"/>
      <c r="F443" s="81"/>
      <c r="G443" s="81"/>
      <c r="H443" s="24"/>
      <c r="I443" s="2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</row>
    <row r="444" ht="17.25" customHeight="1">
      <c r="A444" s="24"/>
      <c r="B444" s="24"/>
      <c r="C444" s="24"/>
      <c r="D444" s="81"/>
      <c r="E444" s="81"/>
      <c r="F444" s="81"/>
      <c r="G444" s="81"/>
      <c r="H444" s="24"/>
      <c r="I444" s="2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</row>
    <row r="445" ht="17.25" customHeight="1">
      <c r="A445" s="24"/>
      <c r="B445" s="24"/>
      <c r="C445" s="24"/>
      <c r="D445" s="81"/>
      <c r="E445" s="81"/>
      <c r="F445" s="81"/>
      <c r="G445" s="81"/>
      <c r="H445" s="24"/>
      <c r="I445" s="2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</row>
    <row r="446" ht="17.25" customHeight="1">
      <c r="A446" s="24"/>
      <c r="B446" s="24"/>
      <c r="C446" s="24"/>
      <c r="D446" s="81"/>
      <c r="E446" s="81"/>
      <c r="F446" s="81"/>
      <c r="G446" s="81"/>
      <c r="H446" s="24"/>
      <c r="I446" s="2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</row>
    <row r="447" ht="17.25" customHeight="1">
      <c r="A447" s="24"/>
      <c r="B447" s="24"/>
      <c r="C447" s="24"/>
      <c r="D447" s="81"/>
      <c r="E447" s="81"/>
      <c r="F447" s="81"/>
      <c r="G447" s="81"/>
      <c r="H447" s="24"/>
      <c r="I447" s="2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</row>
    <row r="448" ht="17.25" customHeight="1">
      <c r="A448" s="24"/>
      <c r="B448" s="24"/>
      <c r="C448" s="24"/>
      <c r="D448" s="81"/>
      <c r="E448" s="81"/>
      <c r="F448" s="81"/>
      <c r="G448" s="81"/>
      <c r="H448" s="24"/>
      <c r="I448" s="2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</row>
    <row r="449" ht="17.25" customHeight="1">
      <c r="A449" s="24"/>
      <c r="B449" s="24"/>
      <c r="C449" s="24"/>
      <c r="D449" s="81"/>
      <c r="E449" s="81"/>
      <c r="F449" s="81"/>
      <c r="G449" s="81"/>
      <c r="H449" s="24"/>
      <c r="I449" s="2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</row>
    <row r="450" ht="17.25" customHeight="1">
      <c r="A450" s="24"/>
      <c r="B450" s="24"/>
      <c r="C450" s="24"/>
      <c r="D450" s="81"/>
      <c r="E450" s="81"/>
      <c r="F450" s="81"/>
      <c r="G450" s="81"/>
      <c r="H450" s="24"/>
      <c r="I450" s="2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</row>
    <row r="451" ht="17.25" customHeight="1">
      <c r="A451" s="24"/>
      <c r="B451" s="24"/>
      <c r="C451" s="24"/>
      <c r="D451" s="81"/>
      <c r="E451" s="81"/>
      <c r="F451" s="81"/>
      <c r="G451" s="81"/>
      <c r="H451" s="24"/>
      <c r="I451" s="2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</row>
    <row r="452" ht="17.25" customHeight="1">
      <c r="A452" s="24"/>
      <c r="B452" s="24"/>
      <c r="C452" s="24"/>
      <c r="D452" s="81"/>
      <c r="E452" s="81"/>
      <c r="F452" s="81"/>
      <c r="G452" s="81"/>
      <c r="H452" s="24"/>
      <c r="I452" s="2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</row>
    <row r="453" ht="17.25" customHeight="1">
      <c r="A453" s="24"/>
      <c r="B453" s="24"/>
      <c r="C453" s="24"/>
      <c r="D453" s="81"/>
      <c r="E453" s="81"/>
      <c r="F453" s="81"/>
      <c r="G453" s="81"/>
      <c r="H453" s="24"/>
      <c r="I453" s="2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</row>
    <row r="454" ht="17.25" customHeight="1">
      <c r="A454" s="24"/>
      <c r="B454" s="24"/>
      <c r="C454" s="24"/>
      <c r="D454" s="81"/>
      <c r="E454" s="81"/>
      <c r="F454" s="81"/>
      <c r="G454" s="81"/>
      <c r="H454" s="24"/>
      <c r="I454" s="2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</row>
    <row r="455" ht="17.25" customHeight="1">
      <c r="A455" s="24"/>
      <c r="B455" s="24"/>
      <c r="C455" s="24"/>
      <c r="D455" s="81"/>
      <c r="E455" s="81"/>
      <c r="F455" s="81"/>
      <c r="G455" s="81"/>
      <c r="H455" s="24"/>
      <c r="I455" s="2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</row>
    <row r="456" ht="17.25" customHeight="1">
      <c r="A456" s="24"/>
      <c r="B456" s="24"/>
      <c r="C456" s="24"/>
      <c r="D456" s="81"/>
      <c r="E456" s="81"/>
      <c r="F456" s="81"/>
      <c r="G456" s="81"/>
      <c r="H456" s="24"/>
      <c r="I456" s="2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</row>
    <row r="457" ht="17.25" customHeight="1">
      <c r="A457" s="24"/>
      <c r="B457" s="24"/>
      <c r="C457" s="24"/>
      <c r="D457" s="81"/>
      <c r="E457" s="81"/>
      <c r="F457" s="81"/>
      <c r="G457" s="81"/>
      <c r="H457" s="24"/>
      <c r="I457" s="2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</row>
    <row r="458" ht="17.25" customHeight="1">
      <c r="A458" s="24"/>
      <c r="B458" s="24"/>
      <c r="C458" s="24"/>
      <c r="D458" s="81"/>
      <c r="E458" s="81"/>
      <c r="F458" s="81"/>
      <c r="G458" s="81"/>
      <c r="H458" s="24"/>
      <c r="I458" s="2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</row>
    <row r="459" ht="17.25" customHeight="1">
      <c r="A459" s="24"/>
      <c r="B459" s="24"/>
      <c r="C459" s="24"/>
      <c r="D459" s="81"/>
      <c r="E459" s="81"/>
      <c r="F459" s="81"/>
      <c r="G459" s="81"/>
      <c r="H459" s="24"/>
      <c r="I459" s="2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</row>
    <row r="460" ht="17.25" customHeight="1">
      <c r="A460" s="24"/>
      <c r="B460" s="24"/>
      <c r="C460" s="24"/>
      <c r="D460" s="81"/>
      <c r="E460" s="81"/>
      <c r="F460" s="81"/>
      <c r="G460" s="81"/>
      <c r="H460" s="24"/>
      <c r="I460" s="2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</row>
    <row r="461" ht="17.25" customHeight="1">
      <c r="A461" s="24"/>
      <c r="B461" s="24"/>
      <c r="C461" s="24"/>
      <c r="D461" s="81"/>
      <c r="E461" s="81"/>
      <c r="F461" s="81"/>
      <c r="G461" s="81"/>
      <c r="H461" s="24"/>
      <c r="I461" s="2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</row>
    <row r="462" ht="17.25" customHeight="1">
      <c r="A462" s="24"/>
      <c r="B462" s="24"/>
      <c r="C462" s="24"/>
      <c r="D462" s="81"/>
      <c r="E462" s="81"/>
      <c r="F462" s="81"/>
      <c r="G462" s="81"/>
      <c r="H462" s="24"/>
      <c r="I462" s="2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</row>
    <row r="463" ht="17.25" customHeight="1">
      <c r="A463" s="24"/>
      <c r="B463" s="24"/>
      <c r="C463" s="24"/>
      <c r="D463" s="81"/>
      <c r="E463" s="81"/>
      <c r="F463" s="81"/>
      <c r="G463" s="81"/>
      <c r="H463" s="24"/>
      <c r="I463" s="2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</row>
    <row r="464" ht="17.25" customHeight="1">
      <c r="A464" s="24"/>
      <c r="B464" s="24"/>
      <c r="C464" s="24"/>
      <c r="D464" s="81"/>
      <c r="E464" s="81"/>
      <c r="F464" s="81"/>
      <c r="G464" s="81"/>
      <c r="H464" s="24"/>
      <c r="I464" s="2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</row>
    <row r="465" ht="17.25" customHeight="1">
      <c r="A465" s="24"/>
      <c r="B465" s="24"/>
      <c r="C465" s="24"/>
      <c r="D465" s="81"/>
      <c r="E465" s="81"/>
      <c r="F465" s="81"/>
      <c r="G465" s="81"/>
      <c r="H465" s="24"/>
      <c r="I465" s="2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</row>
    <row r="466" ht="17.25" customHeight="1">
      <c r="A466" s="24"/>
      <c r="B466" s="24"/>
      <c r="C466" s="24"/>
      <c r="D466" s="81"/>
      <c r="E466" s="81"/>
      <c r="F466" s="81"/>
      <c r="G466" s="81"/>
      <c r="H466" s="24"/>
      <c r="I466" s="2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</row>
    <row r="467" ht="17.25" customHeight="1">
      <c r="A467" s="24"/>
      <c r="B467" s="24"/>
      <c r="C467" s="24"/>
      <c r="D467" s="81"/>
      <c r="E467" s="81"/>
      <c r="F467" s="81"/>
      <c r="G467" s="81"/>
      <c r="H467" s="24"/>
      <c r="I467" s="2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</row>
    <row r="468" ht="17.25" customHeight="1">
      <c r="A468" s="24"/>
      <c r="B468" s="24"/>
      <c r="C468" s="24"/>
      <c r="D468" s="81"/>
      <c r="E468" s="81"/>
      <c r="F468" s="81"/>
      <c r="G468" s="81"/>
      <c r="H468" s="24"/>
      <c r="I468" s="2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</row>
    <row r="469" ht="17.25" customHeight="1">
      <c r="A469" s="24"/>
      <c r="B469" s="24"/>
      <c r="C469" s="24"/>
      <c r="D469" s="81"/>
      <c r="E469" s="81"/>
      <c r="F469" s="81"/>
      <c r="G469" s="81"/>
      <c r="H469" s="24"/>
      <c r="I469" s="2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</row>
    <row r="470" ht="17.25" customHeight="1">
      <c r="A470" s="24"/>
      <c r="B470" s="24"/>
      <c r="C470" s="24"/>
      <c r="D470" s="81"/>
      <c r="E470" s="81"/>
      <c r="F470" s="81"/>
      <c r="G470" s="81"/>
      <c r="H470" s="24"/>
      <c r="I470" s="2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</row>
    <row r="471" ht="17.25" customHeight="1">
      <c r="A471" s="24"/>
      <c r="B471" s="24"/>
      <c r="C471" s="24"/>
      <c r="D471" s="81"/>
      <c r="E471" s="81"/>
      <c r="F471" s="81"/>
      <c r="G471" s="81"/>
      <c r="H471" s="24"/>
      <c r="I471" s="2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</row>
    <row r="472" ht="17.25" customHeight="1">
      <c r="A472" s="24"/>
      <c r="B472" s="24"/>
      <c r="C472" s="24"/>
      <c r="D472" s="81"/>
      <c r="E472" s="81"/>
      <c r="F472" s="81"/>
      <c r="G472" s="81"/>
      <c r="H472" s="24"/>
      <c r="I472" s="2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</row>
    <row r="473" ht="17.25" customHeight="1">
      <c r="A473" s="24"/>
      <c r="B473" s="24"/>
      <c r="C473" s="24"/>
      <c r="D473" s="81"/>
      <c r="E473" s="81"/>
      <c r="F473" s="81"/>
      <c r="G473" s="81"/>
      <c r="H473" s="24"/>
      <c r="I473" s="2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</row>
    <row r="474" ht="17.25" customHeight="1">
      <c r="A474" s="24"/>
      <c r="B474" s="24"/>
      <c r="C474" s="24"/>
      <c r="D474" s="81"/>
      <c r="E474" s="81"/>
      <c r="F474" s="81"/>
      <c r="G474" s="81"/>
      <c r="H474" s="24"/>
      <c r="I474" s="2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</row>
    <row r="475" ht="17.25" customHeight="1">
      <c r="A475" s="24"/>
      <c r="B475" s="24"/>
      <c r="C475" s="24"/>
      <c r="D475" s="81"/>
      <c r="E475" s="81"/>
      <c r="F475" s="81"/>
      <c r="G475" s="81"/>
      <c r="H475" s="24"/>
      <c r="I475" s="2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</row>
    <row r="476" ht="17.25" customHeight="1">
      <c r="A476" s="24"/>
      <c r="B476" s="24"/>
      <c r="C476" s="24"/>
      <c r="D476" s="81"/>
      <c r="E476" s="81"/>
      <c r="F476" s="81"/>
      <c r="G476" s="81"/>
      <c r="H476" s="24"/>
      <c r="I476" s="2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</row>
    <row r="477" ht="17.25" customHeight="1">
      <c r="A477" s="24"/>
      <c r="B477" s="24"/>
      <c r="C477" s="24"/>
      <c r="D477" s="81"/>
      <c r="E477" s="81"/>
      <c r="F477" s="81"/>
      <c r="G477" s="81"/>
      <c r="H477" s="24"/>
      <c r="I477" s="2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</row>
    <row r="478" ht="17.25" customHeight="1">
      <c r="A478" s="24"/>
      <c r="B478" s="24"/>
      <c r="C478" s="24"/>
      <c r="D478" s="81"/>
      <c r="E478" s="81"/>
      <c r="F478" s="81"/>
      <c r="G478" s="81"/>
      <c r="H478" s="24"/>
      <c r="I478" s="2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</row>
    <row r="479" ht="17.25" customHeight="1">
      <c r="A479" s="24"/>
      <c r="B479" s="24"/>
      <c r="C479" s="24"/>
      <c r="D479" s="81"/>
      <c r="E479" s="81"/>
      <c r="F479" s="81"/>
      <c r="G479" s="81"/>
      <c r="H479" s="24"/>
      <c r="I479" s="2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</row>
    <row r="480" ht="17.25" customHeight="1">
      <c r="A480" s="24"/>
      <c r="B480" s="24"/>
      <c r="C480" s="24"/>
      <c r="D480" s="81"/>
      <c r="E480" s="81"/>
      <c r="F480" s="81"/>
      <c r="G480" s="81"/>
      <c r="H480" s="24"/>
      <c r="I480" s="2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</row>
    <row r="481" ht="17.25" customHeight="1">
      <c r="A481" s="24"/>
      <c r="B481" s="24"/>
      <c r="C481" s="24"/>
      <c r="D481" s="81"/>
      <c r="E481" s="81"/>
      <c r="F481" s="81"/>
      <c r="G481" s="81"/>
      <c r="H481" s="24"/>
      <c r="I481" s="2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</row>
    <row r="482" ht="17.25" customHeight="1">
      <c r="A482" s="24"/>
      <c r="B482" s="24"/>
      <c r="C482" s="24"/>
      <c r="D482" s="81"/>
      <c r="E482" s="81"/>
      <c r="F482" s="81"/>
      <c r="G482" s="81"/>
      <c r="H482" s="24"/>
      <c r="I482" s="2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</row>
    <row r="483" ht="17.25" customHeight="1">
      <c r="A483" s="24"/>
      <c r="B483" s="24"/>
      <c r="C483" s="24"/>
      <c r="D483" s="81"/>
      <c r="E483" s="81"/>
      <c r="F483" s="81"/>
      <c r="G483" s="81"/>
      <c r="H483" s="24"/>
      <c r="I483" s="2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</row>
    <row r="484" ht="17.25" customHeight="1">
      <c r="A484" s="24"/>
      <c r="B484" s="24"/>
      <c r="C484" s="24"/>
      <c r="D484" s="81"/>
      <c r="E484" s="81"/>
      <c r="F484" s="81"/>
      <c r="G484" s="81"/>
      <c r="H484" s="24"/>
      <c r="I484" s="2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</row>
    <row r="485" ht="17.25" customHeight="1">
      <c r="A485" s="24"/>
      <c r="B485" s="24"/>
      <c r="C485" s="24"/>
      <c r="D485" s="81"/>
      <c r="E485" s="81"/>
      <c r="F485" s="81"/>
      <c r="G485" s="81"/>
      <c r="H485" s="24"/>
      <c r="I485" s="2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</row>
    <row r="486" ht="17.25" customHeight="1">
      <c r="A486" s="24"/>
      <c r="B486" s="24"/>
      <c r="C486" s="24"/>
      <c r="D486" s="81"/>
      <c r="E486" s="81"/>
      <c r="F486" s="81"/>
      <c r="G486" s="81"/>
      <c r="H486" s="24"/>
      <c r="I486" s="2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</row>
    <row r="487" ht="17.25" customHeight="1">
      <c r="A487" s="24"/>
      <c r="B487" s="24"/>
      <c r="C487" s="24"/>
      <c r="D487" s="81"/>
      <c r="E487" s="81"/>
      <c r="F487" s="81"/>
      <c r="G487" s="81"/>
      <c r="H487" s="24"/>
      <c r="I487" s="2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</row>
    <row r="488" ht="17.25" customHeight="1">
      <c r="A488" s="24"/>
      <c r="B488" s="24"/>
      <c r="C488" s="24"/>
      <c r="D488" s="81"/>
      <c r="E488" s="81"/>
      <c r="F488" s="81"/>
      <c r="G488" s="81"/>
      <c r="H488" s="24"/>
      <c r="I488" s="2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</row>
    <row r="489" ht="17.25" customHeight="1">
      <c r="A489" s="24"/>
      <c r="B489" s="24"/>
      <c r="C489" s="24"/>
      <c r="D489" s="81"/>
      <c r="E489" s="81"/>
      <c r="F489" s="81"/>
      <c r="G489" s="81"/>
      <c r="H489" s="24"/>
      <c r="I489" s="2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</row>
    <row r="490" ht="17.25" customHeight="1">
      <c r="A490" s="24"/>
      <c r="B490" s="24"/>
      <c r="C490" s="24"/>
      <c r="D490" s="81"/>
      <c r="E490" s="81"/>
      <c r="F490" s="81"/>
      <c r="G490" s="81"/>
      <c r="H490" s="24"/>
      <c r="I490" s="2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</row>
    <row r="491" ht="17.25" customHeight="1">
      <c r="A491" s="24"/>
      <c r="B491" s="24"/>
      <c r="C491" s="24"/>
      <c r="D491" s="81"/>
      <c r="E491" s="81"/>
      <c r="F491" s="81"/>
      <c r="G491" s="81"/>
      <c r="H491" s="24"/>
      <c r="I491" s="2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</row>
    <row r="492" ht="17.25" customHeight="1">
      <c r="A492" s="24"/>
      <c r="B492" s="24"/>
      <c r="C492" s="24"/>
      <c r="D492" s="81"/>
      <c r="E492" s="81"/>
      <c r="F492" s="81"/>
      <c r="G492" s="81"/>
      <c r="H492" s="24"/>
      <c r="I492" s="2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</row>
    <row r="493" ht="17.25" customHeight="1">
      <c r="A493" s="24"/>
      <c r="B493" s="24"/>
      <c r="C493" s="24"/>
      <c r="D493" s="81"/>
      <c r="E493" s="81"/>
      <c r="F493" s="81"/>
      <c r="G493" s="81"/>
      <c r="H493" s="24"/>
      <c r="I493" s="2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</row>
    <row r="494" ht="17.25" customHeight="1">
      <c r="A494" s="24"/>
      <c r="B494" s="24"/>
      <c r="C494" s="24"/>
      <c r="D494" s="81"/>
      <c r="E494" s="81"/>
      <c r="F494" s="81"/>
      <c r="G494" s="81"/>
      <c r="H494" s="24"/>
      <c r="I494" s="2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</row>
    <row r="495" ht="17.25" customHeight="1">
      <c r="A495" s="24"/>
      <c r="B495" s="24"/>
      <c r="C495" s="24"/>
      <c r="D495" s="81"/>
      <c r="E495" s="81"/>
      <c r="F495" s="81"/>
      <c r="G495" s="81"/>
      <c r="H495" s="24"/>
      <c r="I495" s="2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</row>
    <row r="496" ht="17.25" customHeight="1">
      <c r="A496" s="24"/>
      <c r="B496" s="24"/>
      <c r="C496" s="24"/>
      <c r="D496" s="81"/>
      <c r="E496" s="81"/>
      <c r="F496" s="81"/>
      <c r="G496" s="81"/>
      <c r="H496" s="24"/>
      <c r="I496" s="2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</row>
    <row r="497" ht="17.25" customHeight="1">
      <c r="A497" s="24"/>
      <c r="B497" s="24"/>
      <c r="C497" s="24"/>
      <c r="D497" s="81"/>
      <c r="E497" s="81"/>
      <c r="F497" s="81"/>
      <c r="G497" s="81"/>
      <c r="H497" s="24"/>
      <c r="I497" s="2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</row>
    <row r="498" ht="17.25" customHeight="1">
      <c r="A498" s="24"/>
      <c r="B498" s="24"/>
      <c r="C498" s="24"/>
      <c r="D498" s="81"/>
      <c r="E498" s="81"/>
      <c r="F498" s="81"/>
      <c r="G498" s="81"/>
      <c r="H498" s="24"/>
      <c r="I498" s="2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</row>
    <row r="499" ht="17.25" customHeight="1">
      <c r="A499" s="24"/>
      <c r="B499" s="24"/>
      <c r="C499" s="24"/>
      <c r="D499" s="81"/>
      <c r="E499" s="81"/>
      <c r="F499" s="81"/>
      <c r="G499" s="81"/>
      <c r="H499" s="24"/>
      <c r="I499" s="2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</row>
    <row r="500" ht="17.25" customHeight="1">
      <c r="A500" s="24"/>
      <c r="B500" s="24"/>
      <c r="C500" s="24"/>
      <c r="D500" s="81"/>
      <c r="E500" s="81"/>
      <c r="F500" s="81"/>
      <c r="G500" s="81"/>
      <c r="H500" s="24"/>
      <c r="I500" s="2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</row>
    <row r="501" ht="17.25" customHeight="1">
      <c r="A501" s="24"/>
      <c r="B501" s="24"/>
      <c r="C501" s="24"/>
      <c r="D501" s="81"/>
      <c r="E501" s="81"/>
      <c r="F501" s="81"/>
      <c r="G501" s="81"/>
      <c r="H501" s="24"/>
      <c r="I501" s="2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</row>
    <row r="502" ht="17.25" customHeight="1">
      <c r="A502" s="24"/>
      <c r="B502" s="24"/>
      <c r="C502" s="24"/>
      <c r="D502" s="81"/>
      <c r="E502" s="81"/>
      <c r="F502" s="81"/>
      <c r="G502" s="81"/>
      <c r="H502" s="24"/>
      <c r="I502" s="2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</row>
    <row r="503" ht="17.25" customHeight="1">
      <c r="A503" s="24"/>
      <c r="B503" s="24"/>
      <c r="C503" s="24"/>
      <c r="D503" s="81"/>
      <c r="E503" s="81"/>
      <c r="F503" s="81"/>
      <c r="G503" s="81"/>
      <c r="H503" s="24"/>
      <c r="I503" s="2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</row>
    <row r="504" ht="17.25" customHeight="1">
      <c r="A504" s="24"/>
      <c r="B504" s="24"/>
      <c r="C504" s="24"/>
      <c r="D504" s="81"/>
      <c r="E504" s="81"/>
      <c r="F504" s="81"/>
      <c r="G504" s="81"/>
      <c r="H504" s="24"/>
      <c r="I504" s="2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</row>
    <row r="505" ht="17.25" customHeight="1">
      <c r="A505" s="24"/>
      <c r="B505" s="24"/>
      <c r="C505" s="24"/>
      <c r="D505" s="81"/>
      <c r="E505" s="81"/>
      <c r="F505" s="81"/>
      <c r="G505" s="81"/>
      <c r="H505" s="24"/>
      <c r="I505" s="2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</row>
    <row r="506" ht="17.25" customHeight="1">
      <c r="A506" s="24"/>
      <c r="B506" s="24"/>
      <c r="C506" s="24"/>
      <c r="D506" s="81"/>
      <c r="E506" s="81"/>
      <c r="F506" s="81"/>
      <c r="G506" s="81"/>
      <c r="H506" s="24"/>
      <c r="I506" s="2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</row>
    <row r="507" ht="17.25" customHeight="1">
      <c r="A507" s="24"/>
      <c r="B507" s="24"/>
      <c r="C507" s="24"/>
      <c r="D507" s="81"/>
      <c r="E507" s="81"/>
      <c r="F507" s="81"/>
      <c r="G507" s="81"/>
      <c r="H507" s="24"/>
      <c r="I507" s="2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</row>
    <row r="508" ht="17.25" customHeight="1">
      <c r="A508" s="24"/>
      <c r="B508" s="24"/>
      <c r="C508" s="24"/>
      <c r="D508" s="81"/>
      <c r="E508" s="81"/>
      <c r="F508" s="81"/>
      <c r="G508" s="81"/>
      <c r="H508" s="24"/>
      <c r="I508" s="2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</row>
    <row r="509" ht="17.25" customHeight="1">
      <c r="A509" s="24"/>
      <c r="B509" s="24"/>
      <c r="C509" s="24"/>
      <c r="D509" s="81"/>
      <c r="E509" s="81"/>
      <c r="F509" s="81"/>
      <c r="G509" s="81"/>
      <c r="H509" s="24"/>
      <c r="I509" s="2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</row>
    <row r="510" ht="17.25" customHeight="1">
      <c r="A510" s="24"/>
      <c r="B510" s="24"/>
      <c r="C510" s="24"/>
      <c r="D510" s="81"/>
      <c r="E510" s="81"/>
      <c r="F510" s="81"/>
      <c r="G510" s="81"/>
      <c r="H510" s="24"/>
      <c r="I510" s="2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</row>
    <row r="511" ht="17.25" customHeight="1">
      <c r="A511" s="24"/>
      <c r="B511" s="24"/>
      <c r="C511" s="24"/>
      <c r="D511" s="81"/>
      <c r="E511" s="81"/>
      <c r="F511" s="81"/>
      <c r="G511" s="81"/>
      <c r="H511" s="24"/>
      <c r="I511" s="2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</row>
    <row r="512" ht="17.25" customHeight="1">
      <c r="A512" s="24"/>
      <c r="B512" s="24"/>
      <c r="C512" s="24"/>
      <c r="D512" s="81"/>
      <c r="E512" s="81"/>
      <c r="F512" s="81"/>
      <c r="G512" s="81"/>
      <c r="H512" s="24"/>
      <c r="I512" s="2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</row>
    <row r="513" ht="17.25" customHeight="1">
      <c r="A513" s="24"/>
      <c r="B513" s="24"/>
      <c r="C513" s="24"/>
      <c r="D513" s="81"/>
      <c r="E513" s="81"/>
      <c r="F513" s="81"/>
      <c r="G513" s="81"/>
      <c r="H513" s="24"/>
      <c r="I513" s="2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</row>
    <row r="514" ht="17.25" customHeight="1">
      <c r="A514" s="24"/>
      <c r="B514" s="24"/>
      <c r="C514" s="24"/>
      <c r="D514" s="81"/>
      <c r="E514" s="81"/>
      <c r="F514" s="81"/>
      <c r="G514" s="81"/>
      <c r="H514" s="24"/>
      <c r="I514" s="2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</row>
    <row r="515" ht="17.25" customHeight="1">
      <c r="A515" s="24"/>
      <c r="B515" s="24"/>
      <c r="C515" s="24"/>
      <c r="D515" s="81"/>
      <c r="E515" s="81"/>
      <c r="F515" s="81"/>
      <c r="G515" s="81"/>
      <c r="H515" s="24"/>
      <c r="I515" s="2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</row>
    <row r="516" ht="17.25" customHeight="1">
      <c r="A516" s="24"/>
      <c r="B516" s="24"/>
      <c r="C516" s="24"/>
      <c r="D516" s="81"/>
      <c r="E516" s="81"/>
      <c r="F516" s="81"/>
      <c r="G516" s="81"/>
      <c r="H516" s="24"/>
      <c r="I516" s="2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</row>
    <row r="517" ht="17.25" customHeight="1">
      <c r="A517" s="24"/>
      <c r="B517" s="24"/>
      <c r="C517" s="24"/>
      <c r="D517" s="81"/>
      <c r="E517" s="81"/>
      <c r="F517" s="81"/>
      <c r="G517" s="81"/>
      <c r="H517" s="24"/>
      <c r="I517" s="2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</row>
    <row r="518" ht="17.25" customHeight="1">
      <c r="A518" s="24"/>
      <c r="B518" s="24"/>
      <c r="C518" s="24"/>
      <c r="D518" s="81"/>
      <c r="E518" s="81"/>
      <c r="F518" s="81"/>
      <c r="G518" s="81"/>
      <c r="H518" s="24"/>
      <c r="I518" s="2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</row>
    <row r="519" ht="17.25" customHeight="1">
      <c r="A519" s="24"/>
      <c r="B519" s="24"/>
      <c r="C519" s="24"/>
      <c r="D519" s="81"/>
      <c r="E519" s="81"/>
      <c r="F519" s="81"/>
      <c r="G519" s="81"/>
      <c r="H519" s="24"/>
      <c r="I519" s="2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</row>
    <row r="520" ht="17.25" customHeight="1">
      <c r="A520" s="24"/>
      <c r="B520" s="24"/>
      <c r="C520" s="24"/>
      <c r="D520" s="81"/>
      <c r="E520" s="81"/>
      <c r="F520" s="81"/>
      <c r="G520" s="81"/>
      <c r="H520" s="24"/>
      <c r="I520" s="2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</row>
    <row r="521" ht="17.25" customHeight="1">
      <c r="A521" s="24"/>
      <c r="B521" s="24"/>
      <c r="C521" s="24"/>
      <c r="D521" s="81"/>
      <c r="E521" s="81"/>
      <c r="F521" s="81"/>
      <c r="G521" s="81"/>
      <c r="H521" s="24"/>
      <c r="I521" s="2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  <c r="AC521" s="234"/>
    </row>
    <row r="522" ht="17.25" customHeight="1">
      <c r="A522" s="24"/>
      <c r="B522" s="24"/>
      <c r="C522" s="24"/>
      <c r="D522" s="81"/>
      <c r="E522" s="81"/>
      <c r="F522" s="81"/>
      <c r="G522" s="81"/>
      <c r="H522" s="24"/>
      <c r="I522" s="2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  <c r="AC522" s="234"/>
    </row>
    <row r="523" ht="17.25" customHeight="1">
      <c r="A523" s="24"/>
      <c r="B523" s="24"/>
      <c r="C523" s="24"/>
      <c r="D523" s="81"/>
      <c r="E523" s="81"/>
      <c r="F523" s="81"/>
      <c r="G523" s="81"/>
      <c r="H523" s="24"/>
      <c r="I523" s="2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  <c r="AC523" s="234"/>
    </row>
    <row r="524" ht="17.25" customHeight="1">
      <c r="A524" s="24"/>
      <c r="B524" s="24"/>
      <c r="C524" s="24"/>
      <c r="D524" s="81"/>
      <c r="E524" s="81"/>
      <c r="F524" s="81"/>
      <c r="G524" s="81"/>
      <c r="H524" s="24"/>
      <c r="I524" s="2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  <c r="AC524" s="234"/>
    </row>
    <row r="525" ht="17.25" customHeight="1">
      <c r="A525" s="24"/>
      <c r="B525" s="24"/>
      <c r="C525" s="24"/>
      <c r="D525" s="81"/>
      <c r="E525" s="81"/>
      <c r="F525" s="81"/>
      <c r="G525" s="81"/>
      <c r="H525" s="24"/>
      <c r="I525" s="2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  <c r="AC525" s="234"/>
    </row>
    <row r="526" ht="17.25" customHeight="1">
      <c r="A526" s="24"/>
      <c r="B526" s="24"/>
      <c r="C526" s="24"/>
      <c r="D526" s="81"/>
      <c r="E526" s="81"/>
      <c r="F526" s="81"/>
      <c r="G526" s="81"/>
      <c r="H526" s="24"/>
      <c r="I526" s="2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  <c r="AC526" s="234"/>
    </row>
    <row r="527" ht="17.25" customHeight="1">
      <c r="A527" s="24"/>
      <c r="B527" s="24"/>
      <c r="C527" s="24"/>
      <c r="D527" s="81"/>
      <c r="E527" s="81"/>
      <c r="F527" s="81"/>
      <c r="G527" s="81"/>
      <c r="H527" s="24"/>
      <c r="I527" s="2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</row>
    <row r="528" ht="17.25" customHeight="1">
      <c r="A528" s="24"/>
      <c r="B528" s="24"/>
      <c r="C528" s="24"/>
      <c r="D528" s="81"/>
      <c r="E528" s="81"/>
      <c r="F528" s="81"/>
      <c r="G528" s="81"/>
      <c r="H528" s="24"/>
      <c r="I528" s="2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  <c r="AC528" s="234"/>
    </row>
    <row r="529" ht="17.25" customHeight="1">
      <c r="A529" s="24"/>
      <c r="B529" s="24"/>
      <c r="C529" s="24"/>
      <c r="D529" s="81"/>
      <c r="E529" s="81"/>
      <c r="F529" s="81"/>
      <c r="G529" s="81"/>
      <c r="H529" s="24"/>
      <c r="I529" s="2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  <c r="AC529" s="234"/>
    </row>
    <row r="530" ht="17.25" customHeight="1">
      <c r="A530" s="24"/>
      <c r="B530" s="24"/>
      <c r="C530" s="24"/>
      <c r="D530" s="81"/>
      <c r="E530" s="81"/>
      <c r="F530" s="81"/>
      <c r="G530" s="81"/>
      <c r="H530" s="24"/>
      <c r="I530" s="2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  <c r="AC530" s="234"/>
    </row>
    <row r="531" ht="17.25" customHeight="1">
      <c r="A531" s="24"/>
      <c r="B531" s="24"/>
      <c r="C531" s="24"/>
      <c r="D531" s="81"/>
      <c r="E531" s="81"/>
      <c r="F531" s="81"/>
      <c r="G531" s="81"/>
      <c r="H531" s="24"/>
      <c r="I531" s="2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  <c r="AC531" s="234"/>
    </row>
    <row r="532" ht="17.25" customHeight="1">
      <c r="A532" s="24"/>
      <c r="B532" s="24"/>
      <c r="C532" s="24"/>
      <c r="D532" s="81"/>
      <c r="E532" s="81"/>
      <c r="F532" s="81"/>
      <c r="G532" s="81"/>
      <c r="H532" s="24"/>
      <c r="I532" s="2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  <c r="AC532" s="234"/>
    </row>
    <row r="533" ht="17.25" customHeight="1">
      <c r="A533" s="24"/>
      <c r="B533" s="24"/>
      <c r="C533" s="24"/>
      <c r="D533" s="81"/>
      <c r="E533" s="81"/>
      <c r="F533" s="81"/>
      <c r="G533" s="81"/>
      <c r="H533" s="24"/>
      <c r="I533" s="2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  <c r="AC533" s="234"/>
    </row>
    <row r="534" ht="17.25" customHeight="1">
      <c r="A534" s="24"/>
      <c r="B534" s="24"/>
      <c r="C534" s="24"/>
      <c r="D534" s="81"/>
      <c r="E534" s="81"/>
      <c r="F534" s="81"/>
      <c r="G534" s="81"/>
      <c r="H534" s="24"/>
      <c r="I534" s="2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  <c r="AC534" s="234"/>
    </row>
    <row r="535" ht="17.25" customHeight="1">
      <c r="A535" s="24"/>
      <c r="B535" s="24"/>
      <c r="C535" s="24"/>
      <c r="D535" s="81"/>
      <c r="E535" s="81"/>
      <c r="F535" s="81"/>
      <c r="G535" s="81"/>
      <c r="H535" s="24"/>
      <c r="I535" s="2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  <c r="AC535" s="234"/>
    </row>
    <row r="536" ht="17.25" customHeight="1">
      <c r="A536" s="24"/>
      <c r="B536" s="24"/>
      <c r="C536" s="24"/>
      <c r="D536" s="81"/>
      <c r="E536" s="81"/>
      <c r="F536" s="81"/>
      <c r="G536" s="81"/>
      <c r="H536" s="24"/>
      <c r="I536" s="2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  <c r="AC536" s="234"/>
    </row>
    <row r="537" ht="17.25" customHeight="1">
      <c r="A537" s="24"/>
      <c r="B537" s="24"/>
      <c r="C537" s="24"/>
      <c r="D537" s="81"/>
      <c r="E537" s="81"/>
      <c r="F537" s="81"/>
      <c r="G537" s="81"/>
      <c r="H537" s="24"/>
      <c r="I537" s="2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  <c r="AC537" s="234"/>
    </row>
    <row r="538" ht="17.25" customHeight="1">
      <c r="A538" s="24"/>
      <c r="B538" s="24"/>
      <c r="C538" s="24"/>
      <c r="D538" s="81"/>
      <c r="E538" s="81"/>
      <c r="F538" s="81"/>
      <c r="G538" s="81"/>
      <c r="H538" s="24"/>
      <c r="I538" s="2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  <c r="AC538" s="234"/>
    </row>
    <row r="539" ht="17.25" customHeight="1">
      <c r="A539" s="24"/>
      <c r="B539" s="24"/>
      <c r="C539" s="24"/>
      <c r="D539" s="81"/>
      <c r="E539" s="81"/>
      <c r="F539" s="81"/>
      <c r="G539" s="81"/>
      <c r="H539" s="24"/>
      <c r="I539" s="2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  <c r="AC539" s="234"/>
    </row>
    <row r="540" ht="17.25" customHeight="1">
      <c r="A540" s="24"/>
      <c r="B540" s="24"/>
      <c r="C540" s="24"/>
      <c r="D540" s="81"/>
      <c r="E540" s="81"/>
      <c r="F540" s="81"/>
      <c r="G540" s="81"/>
      <c r="H540" s="24"/>
      <c r="I540" s="2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  <c r="AC540" s="234"/>
    </row>
    <row r="541" ht="17.25" customHeight="1">
      <c r="A541" s="24"/>
      <c r="B541" s="24"/>
      <c r="C541" s="24"/>
      <c r="D541" s="81"/>
      <c r="E541" s="81"/>
      <c r="F541" s="81"/>
      <c r="G541" s="81"/>
      <c r="H541" s="24"/>
      <c r="I541" s="2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  <c r="AC541" s="234"/>
    </row>
    <row r="542" ht="17.25" customHeight="1">
      <c r="A542" s="24"/>
      <c r="B542" s="24"/>
      <c r="C542" s="24"/>
      <c r="D542" s="81"/>
      <c r="E542" s="81"/>
      <c r="F542" s="81"/>
      <c r="G542" s="81"/>
      <c r="H542" s="24"/>
      <c r="I542" s="2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  <c r="AC542" s="234"/>
    </row>
    <row r="543" ht="17.25" customHeight="1">
      <c r="A543" s="24"/>
      <c r="B543" s="24"/>
      <c r="C543" s="24"/>
      <c r="D543" s="81"/>
      <c r="E543" s="81"/>
      <c r="F543" s="81"/>
      <c r="G543" s="81"/>
      <c r="H543" s="24"/>
      <c r="I543" s="2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  <c r="AC543" s="234"/>
    </row>
    <row r="544" ht="17.25" customHeight="1">
      <c r="A544" s="24"/>
      <c r="B544" s="24"/>
      <c r="C544" s="24"/>
      <c r="D544" s="81"/>
      <c r="E544" s="81"/>
      <c r="F544" s="81"/>
      <c r="G544" s="81"/>
      <c r="H544" s="24"/>
      <c r="I544" s="2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  <c r="AC544" s="234"/>
    </row>
    <row r="545" ht="17.25" customHeight="1">
      <c r="A545" s="24"/>
      <c r="B545" s="24"/>
      <c r="C545" s="24"/>
      <c r="D545" s="81"/>
      <c r="E545" s="81"/>
      <c r="F545" s="81"/>
      <c r="G545" s="81"/>
      <c r="H545" s="24"/>
      <c r="I545" s="2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  <c r="AC545" s="234"/>
    </row>
    <row r="546" ht="17.25" customHeight="1">
      <c r="A546" s="24"/>
      <c r="B546" s="24"/>
      <c r="C546" s="24"/>
      <c r="D546" s="81"/>
      <c r="E546" s="81"/>
      <c r="F546" s="81"/>
      <c r="G546" s="81"/>
      <c r="H546" s="24"/>
      <c r="I546" s="2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  <c r="AC546" s="234"/>
    </row>
    <row r="547" ht="17.25" customHeight="1">
      <c r="A547" s="24"/>
      <c r="B547" s="24"/>
      <c r="C547" s="24"/>
      <c r="D547" s="81"/>
      <c r="E547" s="81"/>
      <c r="F547" s="81"/>
      <c r="G547" s="81"/>
      <c r="H547" s="24"/>
      <c r="I547" s="2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  <c r="AC547" s="234"/>
    </row>
    <row r="548" ht="17.25" customHeight="1">
      <c r="A548" s="24"/>
      <c r="B548" s="24"/>
      <c r="C548" s="24"/>
      <c r="D548" s="81"/>
      <c r="E548" s="81"/>
      <c r="F548" s="81"/>
      <c r="G548" s="81"/>
      <c r="H548" s="24"/>
      <c r="I548" s="2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  <c r="AC548" s="234"/>
    </row>
    <row r="549" ht="17.25" customHeight="1">
      <c r="A549" s="24"/>
      <c r="B549" s="24"/>
      <c r="C549" s="24"/>
      <c r="D549" s="81"/>
      <c r="E549" s="81"/>
      <c r="F549" s="81"/>
      <c r="G549" s="81"/>
      <c r="H549" s="24"/>
      <c r="I549" s="2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  <c r="AC549" s="234"/>
    </row>
    <row r="550" ht="17.25" customHeight="1">
      <c r="A550" s="24"/>
      <c r="B550" s="24"/>
      <c r="C550" s="24"/>
      <c r="D550" s="81"/>
      <c r="E550" s="81"/>
      <c r="F550" s="81"/>
      <c r="G550" s="81"/>
      <c r="H550" s="24"/>
      <c r="I550" s="2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  <c r="AC550" s="234"/>
    </row>
    <row r="551" ht="17.25" customHeight="1">
      <c r="A551" s="24"/>
      <c r="B551" s="24"/>
      <c r="C551" s="24"/>
      <c r="D551" s="81"/>
      <c r="E551" s="81"/>
      <c r="F551" s="81"/>
      <c r="G551" s="81"/>
      <c r="H551" s="24"/>
      <c r="I551" s="2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  <c r="AC551" s="234"/>
    </row>
    <row r="552" ht="17.25" customHeight="1">
      <c r="A552" s="24"/>
      <c r="B552" s="24"/>
      <c r="C552" s="24"/>
      <c r="D552" s="81"/>
      <c r="E552" s="81"/>
      <c r="F552" s="81"/>
      <c r="G552" s="81"/>
      <c r="H552" s="24"/>
      <c r="I552" s="2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  <c r="AC552" s="234"/>
    </row>
    <row r="553" ht="17.25" customHeight="1">
      <c r="A553" s="24"/>
      <c r="B553" s="24"/>
      <c r="C553" s="24"/>
      <c r="D553" s="81"/>
      <c r="E553" s="81"/>
      <c r="F553" s="81"/>
      <c r="G553" s="81"/>
      <c r="H553" s="24"/>
      <c r="I553" s="2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  <c r="AC553" s="234"/>
    </row>
    <row r="554" ht="17.25" customHeight="1">
      <c r="A554" s="24"/>
      <c r="B554" s="24"/>
      <c r="C554" s="24"/>
      <c r="D554" s="81"/>
      <c r="E554" s="81"/>
      <c r="F554" s="81"/>
      <c r="G554" s="81"/>
      <c r="H554" s="24"/>
      <c r="I554" s="2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  <c r="AC554" s="234"/>
    </row>
    <row r="555" ht="17.25" customHeight="1">
      <c r="A555" s="24"/>
      <c r="B555" s="24"/>
      <c r="C555" s="24"/>
      <c r="D555" s="81"/>
      <c r="E555" s="81"/>
      <c r="F555" s="81"/>
      <c r="G555" s="81"/>
      <c r="H555" s="24"/>
      <c r="I555" s="2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  <c r="AC555" s="234"/>
    </row>
    <row r="556" ht="17.25" customHeight="1">
      <c r="A556" s="24"/>
      <c r="B556" s="24"/>
      <c r="C556" s="24"/>
      <c r="D556" s="81"/>
      <c r="E556" s="81"/>
      <c r="F556" s="81"/>
      <c r="G556" s="81"/>
      <c r="H556" s="24"/>
      <c r="I556" s="2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  <c r="AC556" s="234"/>
    </row>
    <row r="557" ht="17.25" customHeight="1">
      <c r="A557" s="24"/>
      <c r="B557" s="24"/>
      <c r="C557" s="24"/>
      <c r="D557" s="81"/>
      <c r="E557" s="81"/>
      <c r="F557" s="81"/>
      <c r="G557" s="81"/>
      <c r="H557" s="24"/>
      <c r="I557" s="2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</row>
    <row r="558" ht="17.25" customHeight="1">
      <c r="A558" s="24"/>
      <c r="B558" s="24"/>
      <c r="C558" s="24"/>
      <c r="D558" s="81"/>
      <c r="E558" s="81"/>
      <c r="F558" s="81"/>
      <c r="G558" s="81"/>
      <c r="H558" s="24"/>
      <c r="I558" s="2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  <c r="AC558" s="234"/>
    </row>
    <row r="559" ht="17.25" customHeight="1">
      <c r="A559" s="24"/>
      <c r="B559" s="24"/>
      <c r="C559" s="24"/>
      <c r="D559" s="81"/>
      <c r="E559" s="81"/>
      <c r="F559" s="81"/>
      <c r="G559" s="81"/>
      <c r="H559" s="24"/>
      <c r="I559" s="2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  <c r="AC559" s="234"/>
    </row>
    <row r="560" ht="17.25" customHeight="1">
      <c r="A560" s="24"/>
      <c r="B560" s="24"/>
      <c r="C560" s="24"/>
      <c r="D560" s="81"/>
      <c r="E560" s="81"/>
      <c r="F560" s="81"/>
      <c r="G560" s="81"/>
      <c r="H560" s="24"/>
      <c r="I560" s="2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  <c r="AC560" s="234"/>
    </row>
    <row r="561" ht="17.25" customHeight="1">
      <c r="A561" s="24"/>
      <c r="B561" s="24"/>
      <c r="C561" s="24"/>
      <c r="D561" s="81"/>
      <c r="E561" s="81"/>
      <c r="F561" s="81"/>
      <c r="G561" s="81"/>
      <c r="H561" s="24"/>
      <c r="I561" s="2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  <c r="AC561" s="234"/>
    </row>
    <row r="562" ht="17.25" customHeight="1">
      <c r="A562" s="24"/>
      <c r="B562" s="24"/>
      <c r="C562" s="24"/>
      <c r="D562" s="81"/>
      <c r="E562" s="81"/>
      <c r="F562" s="81"/>
      <c r="G562" s="81"/>
      <c r="H562" s="24"/>
      <c r="I562" s="2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  <c r="AC562" s="234"/>
    </row>
    <row r="563" ht="17.25" customHeight="1">
      <c r="A563" s="24"/>
      <c r="B563" s="24"/>
      <c r="C563" s="24"/>
      <c r="D563" s="81"/>
      <c r="E563" s="81"/>
      <c r="F563" s="81"/>
      <c r="G563" s="81"/>
      <c r="H563" s="24"/>
      <c r="I563" s="2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  <c r="AC563" s="234"/>
    </row>
    <row r="564" ht="17.25" customHeight="1">
      <c r="A564" s="24"/>
      <c r="B564" s="24"/>
      <c r="C564" s="24"/>
      <c r="D564" s="81"/>
      <c r="E564" s="81"/>
      <c r="F564" s="81"/>
      <c r="G564" s="81"/>
      <c r="H564" s="24"/>
      <c r="I564" s="2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  <c r="AC564" s="234"/>
    </row>
    <row r="565" ht="17.25" customHeight="1">
      <c r="A565" s="24"/>
      <c r="B565" s="24"/>
      <c r="C565" s="24"/>
      <c r="D565" s="81"/>
      <c r="E565" s="81"/>
      <c r="F565" s="81"/>
      <c r="G565" s="81"/>
      <c r="H565" s="24"/>
      <c r="I565" s="2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  <c r="AC565" s="234"/>
    </row>
    <row r="566" ht="17.25" customHeight="1">
      <c r="A566" s="24"/>
      <c r="B566" s="24"/>
      <c r="C566" s="24"/>
      <c r="D566" s="81"/>
      <c r="E566" s="81"/>
      <c r="F566" s="81"/>
      <c r="G566" s="81"/>
      <c r="H566" s="24"/>
      <c r="I566" s="2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  <c r="AC566" s="234"/>
    </row>
    <row r="567" ht="17.25" customHeight="1">
      <c r="A567" s="24"/>
      <c r="B567" s="24"/>
      <c r="C567" s="24"/>
      <c r="D567" s="81"/>
      <c r="E567" s="81"/>
      <c r="F567" s="81"/>
      <c r="G567" s="81"/>
      <c r="H567" s="24"/>
      <c r="I567" s="2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  <c r="AC567" s="234"/>
    </row>
    <row r="568" ht="17.25" customHeight="1">
      <c r="A568" s="24"/>
      <c r="B568" s="24"/>
      <c r="C568" s="24"/>
      <c r="D568" s="81"/>
      <c r="E568" s="81"/>
      <c r="F568" s="81"/>
      <c r="G568" s="81"/>
      <c r="H568" s="24"/>
      <c r="I568" s="2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  <c r="AC568" s="234"/>
    </row>
    <row r="569" ht="17.25" customHeight="1">
      <c r="A569" s="24"/>
      <c r="B569" s="24"/>
      <c r="C569" s="24"/>
      <c r="D569" s="81"/>
      <c r="E569" s="81"/>
      <c r="F569" s="81"/>
      <c r="G569" s="81"/>
      <c r="H569" s="24"/>
      <c r="I569" s="2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  <c r="AC569" s="234"/>
    </row>
    <row r="570" ht="17.25" customHeight="1">
      <c r="A570" s="24"/>
      <c r="B570" s="24"/>
      <c r="C570" s="24"/>
      <c r="D570" s="81"/>
      <c r="E570" s="81"/>
      <c r="F570" s="81"/>
      <c r="G570" s="81"/>
      <c r="H570" s="24"/>
      <c r="I570" s="2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  <c r="AC570" s="234"/>
    </row>
    <row r="571" ht="17.25" customHeight="1">
      <c r="A571" s="24"/>
      <c r="B571" s="24"/>
      <c r="C571" s="24"/>
      <c r="D571" s="81"/>
      <c r="E571" s="81"/>
      <c r="F571" s="81"/>
      <c r="G571" s="81"/>
      <c r="H571" s="24"/>
      <c r="I571" s="2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</row>
    <row r="572" ht="17.25" customHeight="1">
      <c r="A572" s="24"/>
      <c r="B572" s="24"/>
      <c r="C572" s="24"/>
      <c r="D572" s="81"/>
      <c r="E572" s="81"/>
      <c r="F572" s="81"/>
      <c r="G572" s="81"/>
      <c r="H572" s="24"/>
      <c r="I572" s="2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  <c r="AC572" s="234"/>
    </row>
    <row r="573" ht="17.25" customHeight="1">
      <c r="A573" s="24"/>
      <c r="B573" s="24"/>
      <c r="C573" s="24"/>
      <c r="D573" s="81"/>
      <c r="E573" s="81"/>
      <c r="F573" s="81"/>
      <c r="G573" s="81"/>
      <c r="H573" s="24"/>
      <c r="I573" s="2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  <c r="AC573" s="234"/>
    </row>
    <row r="574" ht="17.25" customHeight="1">
      <c r="A574" s="24"/>
      <c r="B574" s="24"/>
      <c r="C574" s="24"/>
      <c r="D574" s="81"/>
      <c r="E574" s="81"/>
      <c r="F574" s="81"/>
      <c r="G574" s="81"/>
      <c r="H574" s="24"/>
      <c r="I574" s="2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  <c r="AC574" s="234"/>
    </row>
    <row r="575" ht="17.25" customHeight="1">
      <c r="A575" s="24"/>
      <c r="B575" s="24"/>
      <c r="C575" s="24"/>
      <c r="D575" s="81"/>
      <c r="E575" s="81"/>
      <c r="F575" s="81"/>
      <c r="G575" s="81"/>
      <c r="H575" s="24"/>
      <c r="I575" s="2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  <c r="AC575" s="234"/>
    </row>
    <row r="576" ht="17.25" customHeight="1">
      <c r="A576" s="24"/>
      <c r="B576" s="24"/>
      <c r="C576" s="24"/>
      <c r="D576" s="81"/>
      <c r="E576" s="81"/>
      <c r="F576" s="81"/>
      <c r="G576" s="81"/>
      <c r="H576" s="24"/>
      <c r="I576" s="2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  <c r="AC576" s="234"/>
    </row>
    <row r="577" ht="17.25" customHeight="1">
      <c r="A577" s="24"/>
      <c r="B577" s="24"/>
      <c r="C577" s="24"/>
      <c r="D577" s="81"/>
      <c r="E577" s="81"/>
      <c r="F577" s="81"/>
      <c r="G577" s="81"/>
      <c r="H577" s="24"/>
      <c r="I577" s="2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  <c r="AC577" s="234"/>
    </row>
    <row r="578" ht="17.25" customHeight="1">
      <c r="A578" s="24"/>
      <c r="B578" s="24"/>
      <c r="C578" s="24"/>
      <c r="D578" s="81"/>
      <c r="E578" s="81"/>
      <c r="F578" s="81"/>
      <c r="G578" s="81"/>
      <c r="H578" s="24"/>
      <c r="I578" s="2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  <c r="AC578" s="234"/>
    </row>
    <row r="579" ht="17.25" customHeight="1">
      <c r="A579" s="24"/>
      <c r="B579" s="24"/>
      <c r="C579" s="24"/>
      <c r="D579" s="81"/>
      <c r="E579" s="81"/>
      <c r="F579" s="81"/>
      <c r="G579" s="81"/>
      <c r="H579" s="24"/>
      <c r="I579" s="2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  <c r="AC579" s="234"/>
    </row>
    <row r="580" ht="17.25" customHeight="1">
      <c r="A580" s="24"/>
      <c r="B580" s="24"/>
      <c r="C580" s="24"/>
      <c r="D580" s="81"/>
      <c r="E580" s="81"/>
      <c r="F580" s="81"/>
      <c r="G580" s="81"/>
      <c r="H580" s="24"/>
      <c r="I580" s="2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  <c r="AC580" s="234"/>
    </row>
    <row r="581" ht="17.25" customHeight="1">
      <c r="A581" s="24"/>
      <c r="B581" s="24"/>
      <c r="C581" s="24"/>
      <c r="D581" s="81"/>
      <c r="E581" s="81"/>
      <c r="F581" s="81"/>
      <c r="G581" s="81"/>
      <c r="H581" s="24"/>
      <c r="I581" s="2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  <c r="AC581" s="234"/>
    </row>
    <row r="582" ht="17.25" customHeight="1">
      <c r="A582" s="24"/>
      <c r="B582" s="24"/>
      <c r="C582" s="24"/>
      <c r="D582" s="81"/>
      <c r="E582" s="81"/>
      <c r="F582" s="81"/>
      <c r="G582" s="81"/>
      <c r="H582" s="24"/>
      <c r="I582" s="2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  <c r="AC582" s="234"/>
    </row>
    <row r="583" ht="17.25" customHeight="1">
      <c r="A583" s="24"/>
      <c r="B583" s="24"/>
      <c r="C583" s="24"/>
      <c r="D583" s="81"/>
      <c r="E583" s="81"/>
      <c r="F583" s="81"/>
      <c r="G583" s="81"/>
      <c r="H583" s="24"/>
      <c r="I583" s="2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  <c r="AC583" s="234"/>
    </row>
    <row r="584" ht="17.25" customHeight="1">
      <c r="A584" s="24"/>
      <c r="B584" s="24"/>
      <c r="C584" s="24"/>
      <c r="D584" s="81"/>
      <c r="E584" s="81"/>
      <c r="F584" s="81"/>
      <c r="G584" s="81"/>
      <c r="H584" s="24"/>
      <c r="I584" s="2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  <c r="AC584" s="234"/>
    </row>
    <row r="585" ht="17.25" customHeight="1">
      <c r="A585" s="24"/>
      <c r="B585" s="24"/>
      <c r="C585" s="24"/>
      <c r="D585" s="81"/>
      <c r="E585" s="81"/>
      <c r="F585" s="81"/>
      <c r="G585" s="81"/>
      <c r="H585" s="24"/>
      <c r="I585" s="2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  <c r="AC585" s="234"/>
    </row>
    <row r="586" ht="17.25" customHeight="1">
      <c r="A586" s="24"/>
      <c r="B586" s="24"/>
      <c r="C586" s="24"/>
      <c r="D586" s="81"/>
      <c r="E586" s="81"/>
      <c r="F586" s="81"/>
      <c r="G586" s="81"/>
      <c r="H586" s="24"/>
      <c r="I586" s="2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  <c r="AC586" s="234"/>
    </row>
    <row r="587" ht="17.25" customHeight="1">
      <c r="A587" s="24"/>
      <c r="B587" s="24"/>
      <c r="C587" s="24"/>
      <c r="D587" s="81"/>
      <c r="E587" s="81"/>
      <c r="F587" s="81"/>
      <c r="G587" s="81"/>
      <c r="H587" s="24"/>
      <c r="I587" s="2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  <c r="AC587" s="234"/>
    </row>
    <row r="588" ht="17.25" customHeight="1">
      <c r="A588" s="24"/>
      <c r="B588" s="24"/>
      <c r="C588" s="24"/>
      <c r="D588" s="81"/>
      <c r="E588" s="81"/>
      <c r="F588" s="81"/>
      <c r="G588" s="81"/>
      <c r="H588" s="24"/>
      <c r="I588" s="2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  <c r="AC588" s="234"/>
    </row>
    <row r="589" ht="17.25" customHeight="1">
      <c r="A589" s="24"/>
      <c r="B589" s="24"/>
      <c r="C589" s="24"/>
      <c r="D589" s="81"/>
      <c r="E589" s="81"/>
      <c r="F589" s="81"/>
      <c r="G589" s="81"/>
      <c r="H589" s="24"/>
      <c r="I589" s="2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  <c r="AC589" s="234"/>
    </row>
    <row r="590" ht="17.25" customHeight="1">
      <c r="A590" s="24"/>
      <c r="B590" s="24"/>
      <c r="C590" s="24"/>
      <c r="D590" s="81"/>
      <c r="E590" s="81"/>
      <c r="F590" s="81"/>
      <c r="G590" s="81"/>
      <c r="H590" s="24"/>
      <c r="I590" s="2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  <c r="AC590" s="234"/>
    </row>
    <row r="591" ht="17.25" customHeight="1">
      <c r="A591" s="24"/>
      <c r="B591" s="24"/>
      <c r="C591" s="24"/>
      <c r="D591" s="81"/>
      <c r="E591" s="81"/>
      <c r="F591" s="81"/>
      <c r="G591" s="81"/>
      <c r="H591" s="24"/>
      <c r="I591" s="2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  <c r="AC591" s="234"/>
    </row>
    <row r="592" ht="17.25" customHeight="1">
      <c r="A592" s="24"/>
      <c r="B592" s="24"/>
      <c r="C592" s="24"/>
      <c r="D592" s="81"/>
      <c r="E592" s="81"/>
      <c r="F592" s="81"/>
      <c r="G592" s="81"/>
      <c r="H592" s="24"/>
      <c r="I592" s="2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  <c r="AC592" s="234"/>
    </row>
    <row r="593" ht="17.25" customHeight="1">
      <c r="A593" s="24"/>
      <c r="B593" s="24"/>
      <c r="C593" s="24"/>
      <c r="D593" s="81"/>
      <c r="E593" s="81"/>
      <c r="F593" s="81"/>
      <c r="G593" s="81"/>
      <c r="H593" s="24"/>
      <c r="I593" s="2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  <c r="AC593" s="234"/>
    </row>
    <row r="594" ht="17.25" customHeight="1">
      <c r="A594" s="24"/>
      <c r="B594" s="24"/>
      <c r="C594" s="24"/>
      <c r="D594" s="81"/>
      <c r="E594" s="81"/>
      <c r="F594" s="81"/>
      <c r="G594" s="81"/>
      <c r="H594" s="24"/>
      <c r="I594" s="2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  <c r="AC594" s="234"/>
    </row>
    <row r="595" ht="17.25" customHeight="1">
      <c r="A595" s="24"/>
      <c r="B595" s="24"/>
      <c r="C595" s="24"/>
      <c r="D595" s="81"/>
      <c r="E595" s="81"/>
      <c r="F595" s="81"/>
      <c r="G595" s="81"/>
      <c r="H595" s="24"/>
      <c r="I595" s="2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  <c r="AC595" s="234"/>
    </row>
    <row r="596" ht="17.25" customHeight="1">
      <c r="A596" s="24"/>
      <c r="B596" s="24"/>
      <c r="C596" s="24"/>
      <c r="D596" s="81"/>
      <c r="E596" s="81"/>
      <c r="F596" s="81"/>
      <c r="G596" s="81"/>
      <c r="H596" s="24"/>
      <c r="I596" s="2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  <c r="AC596" s="234"/>
    </row>
    <row r="597" ht="17.25" customHeight="1">
      <c r="A597" s="24"/>
      <c r="B597" s="24"/>
      <c r="C597" s="24"/>
      <c r="D597" s="81"/>
      <c r="E597" s="81"/>
      <c r="F597" s="81"/>
      <c r="G597" s="81"/>
      <c r="H597" s="24"/>
      <c r="I597" s="2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  <c r="AC597" s="234"/>
    </row>
    <row r="598" ht="17.25" customHeight="1">
      <c r="A598" s="24"/>
      <c r="B598" s="24"/>
      <c r="C598" s="24"/>
      <c r="D598" s="81"/>
      <c r="E598" s="81"/>
      <c r="F598" s="81"/>
      <c r="G598" s="81"/>
      <c r="H598" s="24"/>
      <c r="I598" s="2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  <c r="AC598" s="234"/>
    </row>
    <row r="599" ht="17.25" customHeight="1">
      <c r="A599" s="24"/>
      <c r="B599" s="24"/>
      <c r="C599" s="24"/>
      <c r="D599" s="81"/>
      <c r="E599" s="81"/>
      <c r="F599" s="81"/>
      <c r="G599" s="81"/>
      <c r="H599" s="24"/>
      <c r="I599" s="2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  <c r="AC599" s="234"/>
    </row>
    <row r="600" ht="17.25" customHeight="1">
      <c r="A600" s="24"/>
      <c r="B600" s="24"/>
      <c r="C600" s="24"/>
      <c r="D600" s="81"/>
      <c r="E600" s="81"/>
      <c r="F600" s="81"/>
      <c r="G600" s="81"/>
      <c r="H600" s="24"/>
      <c r="I600" s="2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  <c r="AC600" s="234"/>
    </row>
    <row r="601" ht="17.25" customHeight="1">
      <c r="A601" s="24"/>
      <c r="B601" s="24"/>
      <c r="C601" s="24"/>
      <c r="D601" s="81"/>
      <c r="E601" s="81"/>
      <c r="F601" s="81"/>
      <c r="G601" s="81"/>
      <c r="H601" s="24"/>
      <c r="I601" s="2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  <c r="AC601" s="234"/>
    </row>
    <row r="602" ht="17.25" customHeight="1">
      <c r="A602" s="24"/>
      <c r="B602" s="24"/>
      <c r="C602" s="24"/>
      <c r="D602" s="81"/>
      <c r="E602" s="81"/>
      <c r="F602" s="81"/>
      <c r="G602" s="81"/>
      <c r="H602" s="24"/>
      <c r="I602" s="2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  <c r="AC602" s="234"/>
    </row>
    <row r="603" ht="17.25" customHeight="1">
      <c r="A603" s="24"/>
      <c r="B603" s="24"/>
      <c r="C603" s="24"/>
      <c r="D603" s="81"/>
      <c r="E603" s="81"/>
      <c r="F603" s="81"/>
      <c r="G603" s="81"/>
      <c r="H603" s="24"/>
      <c r="I603" s="2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  <c r="AC603" s="234"/>
    </row>
    <row r="604" ht="17.25" customHeight="1">
      <c r="A604" s="24"/>
      <c r="B604" s="24"/>
      <c r="C604" s="24"/>
      <c r="D604" s="81"/>
      <c r="E604" s="81"/>
      <c r="F604" s="81"/>
      <c r="G604" s="81"/>
      <c r="H604" s="24"/>
      <c r="I604" s="2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  <c r="AC604" s="234"/>
    </row>
    <row r="605" ht="17.25" customHeight="1">
      <c r="A605" s="24"/>
      <c r="B605" s="24"/>
      <c r="C605" s="24"/>
      <c r="D605" s="81"/>
      <c r="E605" s="81"/>
      <c r="F605" s="81"/>
      <c r="G605" s="81"/>
      <c r="H605" s="24"/>
      <c r="I605" s="2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  <c r="AC605" s="234"/>
    </row>
    <row r="606" ht="17.25" customHeight="1">
      <c r="A606" s="24"/>
      <c r="B606" s="24"/>
      <c r="C606" s="24"/>
      <c r="D606" s="81"/>
      <c r="E606" s="81"/>
      <c r="F606" s="81"/>
      <c r="G606" s="81"/>
      <c r="H606" s="24"/>
      <c r="I606" s="2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  <c r="AC606" s="234"/>
    </row>
    <row r="607" ht="17.25" customHeight="1">
      <c r="A607" s="24"/>
      <c r="B607" s="24"/>
      <c r="C607" s="24"/>
      <c r="D607" s="81"/>
      <c r="E607" s="81"/>
      <c r="F607" s="81"/>
      <c r="G607" s="81"/>
      <c r="H607" s="24"/>
      <c r="I607" s="2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  <c r="AC607" s="234"/>
    </row>
    <row r="608" ht="17.25" customHeight="1">
      <c r="A608" s="24"/>
      <c r="B608" s="24"/>
      <c r="C608" s="24"/>
      <c r="D608" s="81"/>
      <c r="E608" s="81"/>
      <c r="F608" s="81"/>
      <c r="G608" s="81"/>
      <c r="H608" s="24"/>
      <c r="I608" s="2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  <c r="AC608" s="234"/>
    </row>
    <row r="609" ht="17.25" customHeight="1">
      <c r="A609" s="24"/>
      <c r="B609" s="24"/>
      <c r="C609" s="24"/>
      <c r="D609" s="81"/>
      <c r="E609" s="81"/>
      <c r="F609" s="81"/>
      <c r="G609" s="81"/>
      <c r="H609" s="24"/>
      <c r="I609" s="2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  <c r="AC609" s="234"/>
    </row>
    <row r="610" ht="17.25" customHeight="1">
      <c r="A610" s="24"/>
      <c r="B610" s="24"/>
      <c r="C610" s="24"/>
      <c r="D610" s="81"/>
      <c r="E610" s="81"/>
      <c r="F610" s="81"/>
      <c r="G610" s="81"/>
      <c r="H610" s="24"/>
      <c r="I610" s="2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  <c r="AC610" s="234"/>
    </row>
    <row r="611" ht="17.25" customHeight="1">
      <c r="A611" s="24"/>
      <c r="B611" s="24"/>
      <c r="C611" s="24"/>
      <c r="D611" s="81"/>
      <c r="E611" s="81"/>
      <c r="F611" s="81"/>
      <c r="G611" s="81"/>
      <c r="H611" s="24"/>
      <c r="I611" s="2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  <c r="AC611" s="234"/>
    </row>
    <row r="612" ht="17.25" customHeight="1">
      <c r="A612" s="24"/>
      <c r="B612" s="24"/>
      <c r="C612" s="24"/>
      <c r="D612" s="81"/>
      <c r="E612" s="81"/>
      <c r="F612" s="81"/>
      <c r="G612" s="81"/>
      <c r="H612" s="24"/>
      <c r="I612" s="2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</row>
    <row r="613" ht="17.25" customHeight="1">
      <c r="A613" s="24"/>
      <c r="B613" s="24"/>
      <c r="C613" s="24"/>
      <c r="D613" s="81"/>
      <c r="E613" s="81"/>
      <c r="F613" s="81"/>
      <c r="G613" s="81"/>
      <c r="H613" s="24"/>
      <c r="I613" s="2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  <c r="AC613" s="234"/>
    </row>
    <row r="614" ht="17.25" customHeight="1">
      <c r="A614" s="24"/>
      <c r="B614" s="24"/>
      <c r="C614" s="24"/>
      <c r="D614" s="81"/>
      <c r="E614" s="81"/>
      <c r="F614" s="81"/>
      <c r="G614" s="81"/>
      <c r="H614" s="24"/>
      <c r="I614" s="2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</row>
    <row r="615" ht="17.25" customHeight="1">
      <c r="A615" s="24"/>
      <c r="B615" s="24"/>
      <c r="C615" s="24"/>
      <c r="D615" s="81"/>
      <c r="E615" s="81"/>
      <c r="F615" s="81"/>
      <c r="G615" s="81"/>
      <c r="H615" s="24"/>
      <c r="I615" s="2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</row>
    <row r="616" ht="17.25" customHeight="1">
      <c r="A616" s="24"/>
      <c r="B616" s="24"/>
      <c r="C616" s="24"/>
      <c r="D616" s="81"/>
      <c r="E616" s="81"/>
      <c r="F616" s="81"/>
      <c r="G616" s="81"/>
      <c r="H616" s="24"/>
      <c r="I616" s="2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</row>
    <row r="617" ht="17.25" customHeight="1">
      <c r="A617" s="24"/>
      <c r="B617" s="24"/>
      <c r="C617" s="24"/>
      <c r="D617" s="81"/>
      <c r="E617" s="81"/>
      <c r="F617" s="81"/>
      <c r="G617" s="81"/>
      <c r="H617" s="24"/>
      <c r="I617" s="2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  <c r="AC617" s="234"/>
    </row>
    <row r="618" ht="17.25" customHeight="1">
      <c r="A618" s="24"/>
      <c r="B618" s="24"/>
      <c r="C618" s="24"/>
      <c r="D618" s="81"/>
      <c r="E618" s="81"/>
      <c r="F618" s="81"/>
      <c r="G618" s="81"/>
      <c r="H618" s="24"/>
      <c r="I618" s="2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  <c r="AC618" s="234"/>
    </row>
    <row r="619" ht="17.25" customHeight="1">
      <c r="A619" s="24"/>
      <c r="B619" s="24"/>
      <c r="C619" s="24"/>
      <c r="D619" s="81"/>
      <c r="E619" s="81"/>
      <c r="F619" s="81"/>
      <c r="G619" s="81"/>
      <c r="H619" s="24"/>
      <c r="I619" s="2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</row>
    <row r="620" ht="17.25" customHeight="1">
      <c r="A620" s="24"/>
      <c r="B620" s="24"/>
      <c r="C620" s="24"/>
      <c r="D620" s="81"/>
      <c r="E620" s="81"/>
      <c r="F620" s="81"/>
      <c r="G620" s="81"/>
      <c r="H620" s="24"/>
      <c r="I620" s="2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  <c r="AC620" s="234"/>
    </row>
    <row r="621" ht="17.25" customHeight="1">
      <c r="A621" s="24"/>
      <c r="B621" s="24"/>
      <c r="C621" s="24"/>
      <c r="D621" s="81"/>
      <c r="E621" s="81"/>
      <c r="F621" s="81"/>
      <c r="G621" s="81"/>
      <c r="H621" s="24"/>
      <c r="I621" s="2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  <c r="AC621" s="234"/>
    </row>
    <row r="622" ht="17.25" customHeight="1">
      <c r="A622" s="24"/>
      <c r="B622" s="24"/>
      <c r="C622" s="24"/>
      <c r="D622" s="81"/>
      <c r="E622" s="81"/>
      <c r="F622" s="81"/>
      <c r="G622" s="81"/>
      <c r="H622" s="24"/>
      <c r="I622" s="2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  <c r="AC622" s="234"/>
    </row>
    <row r="623" ht="17.25" customHeight="1">
      <c r="A623" s="24"/>
      <c r="B623" s="24"/>
      <c r="C623" s="24"/>
      <c r="D623" s="81"/>
      <c r="E623" s="81"/>
      <c r="F623" s="81"/>
      <c r="G623" s="81"/>
      <c r="H623" s="24"/>
      <c r="I623" s="2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  <c r="AC623" s="234"/>
    </row>
    <row r="624" ht="17.25" customHeight="1">
      <c r="A624" s="24"/>
      <c r="B624" s="24"/>
      <c r="C624" s="24"/>
      <c r="D624" s="81"/>
      <c r="E624" s="81"/>
      <c r="F624" s="81"/>
      <c r="G624" s="81"/>
      <c r="H624" s="24"/>
      <c r="I624" s="2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  <c r="AC624" s="234"/>
    </row>
    <row r="625" ht="17.25" customHeight="1">
      <c r="A625" s="24"/>
      <c r="B625" s="24"/>
      <c r="C625" s="24"/>
      <c r="D625" s="81"/>
      <c r="E625" s="81"/>
      <c r="F625" s="81"/>
      <c r="G625" s="81"/>
      <c r="H625" s="24"/>
      <c r="I625" s="2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  <c r="AC625" s="234"/>
    </row>
    <row r="626" ht="17.25" customHeight="1">
      <c r="A626" s="24"/>
      <c r="B626" s="24"/>
      <c r="C626" s="24"/>
      <c r="D626" s="81"/>
      <c r="E626" s="81"/>
      <c r="F626" s="81"/>
      <c r="G626" s="81"/>
      <c r="H626" s="24"/>
      <c r="I626" s="2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  <c r="AC626" s="234"/>
    </row>
    <row r="627" ht="17.25" customHeight="1">
      <c r="A627" s="24"/>
      <c r="B627" s="24"/>
      <c r="C627" s="24"/>
      <c r="D627" s="81"/>
      <c r="E627" s="81"/>
      <c r="F627" s="81"/>
      <c r="G627" s="81"/>
      <c r="H627" s="24"/>
      <c r="I627" s="2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  <c r="AC627" s="234"/>
    </row>
    <row r="628" ht="17.25" customHeight="1">
      <c r="A628" s="24"/>
      <c r="B628" s="24"/>
      <c r="C628" s="24"/>
      <c r="D628" s="81"/>
      <c r="E628" s="81"/>
      <c r="F628" s="81"/>
      <c r="G628" s="81"/>
      <c r="H628" s="24"/>
      <c r="I628" s="2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  <c r="AC628" s="234"/>
    </row>
    <row r="629" ht="17.25" customHeight="1">
      <c r="A629" s="24"/>
      <c r="B629" s="24"/>
      <c r="C629" s="24"/>
      <c r="D629" s="81"/>
      <c r="E629" s="81"/>
      <c r="F629" s="81"/>
      <c r="G629" s="81"/>
      <c r="H629" s="24"/>
      <c r="I629" s="2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  <c r="AC629" s="234"/>
    </row>
    <row r="630" ht="17.25" customHeight="1">
      <c r="A630" s="24"/>
      <c r="B630" s="24"/>
      <c r="C630" s="24"/>
      <c r="D630" s="81"/>
      <c r="E630" s="81"/>
      <c r="F630" s="81"/>
      <c r="G630" s="81"/>
      <c r="H630" s="24"/>
      <c r="I630" s="2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  <c r="AC630" s="234"/>
    </row>
    <row r="631" ht="17.25" customHeight="1">
      <c r="A631" s="24"/>
      <c r="B631" s="24"/>
      <c r="C631" s="24"/>
      <c r="D631" s="81"/>
      <c r="E631" s="81"/>
      <c r="F631" s="81"/>
      <c r="G631" s="81"/>
      <c r="H631" s="24"/>
      <c r="I631" s="2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  <c r="AC631" s="234"/>
    </row>
    <row r="632" ht="17.25" customHeight="1">
      <c r="A632" s="24"/>
      <c r="B632" s="24"/>
      <c r="C632" s="24"/>
      <c r="D632" s="81"/>
      <c r="E632" s="81"/>
      <c r="F632" s="81"/>
      <c r="G632" s="81"/>
      <c r="H632" s="24"/>
      <c r="I632" s="2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  <c r="AC632" s="234"/>
    </row>
    <row r="633" ht="17.25" customHeight="1">
      <c r="A633" s="24"/>
      <c r="B633" s="24"/>
      <c r="C633" s="24"/>
      <c r="D633" s="81"/>
      <c r="E633" s="81"/>
      <c r="F633" s="81"/>
      <c r="G633" s="81"/>
      <c r="H633" s="24"/>
      <c r="I633" s="2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  <c r="AC633" s="234"/>
    </row>
    <row r="634" ht="17.25" customHeight="1">
      <c r="A634" s="24"/>
      <c r="B634" s="24"/>
      <c r="C634" s="24"/>
      <c r="D634" s="81"/>
      <c r="E634" s="81"/>
      <c r="F634" s="81"/>
      <c r="G634" s="81"/>
      <c r="H634" s="24"/>
      <c r="I634" s="2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  <c r="AC634" s="234"/>
    </row>
    <row r="635" ht="17.25" customHeight="1">
      <c r="A635" s="24"/>
      <c r="B635" s="24"/>
      <c r="C635" s="24"/>
      <c r="D635" s="81"/>
      <c r="E635" s="81"/>
      <c r="F635" s="81"/>
      <c r="G635" s="81"/>
      <c r="H635" s="24"/>
      <c r="I635" s="2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  <c r="AC635" s="234"/>
    </row>
    <row r="636" ht="17.25" customHeight="1">
      <c r="A636" s="24"/>
      <c r="B636" s="24"/>
      <c r="C636" s="24"/>
      <c r="D636" s="81"/>
      <c r="E636" s="81"/>
      <c r="F636" s="81"/>
      <c r="G636" s="81"/>
      <c r="H636" s="24"/>
      <c r="I636" s="2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  <c r="AC636" s="234"/>
    </row>
    <row r="637" ht="17.25" customHeight="1">
      <c r="A637" s="24"/>
      <c r="B637" s="24"/>
      <c r="C637" s="24"/>
      <c r="D637" s="81"/>
      <c r="E637" s="81"/>
      <c r="F637" s="81"/>
      <c r="G637" s="81"/>
      <c r="H637" s="24"/>
      <c r="I637" s="2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  <c r="AC637" s="234"/>
    </row>
    <row r="638" ht="17.25" customHeight="1">
      <c r="A638" s="24"/>
      <c r="B638" s="24"/>
      <c r="C638" s="24"/>
      <c r="D638" s="81"/>
      <c r="E638" s="81"/>
      <c r="F638" s="81"/>
      <c r="G638" s="81"/>
      <c r="H638" s="24"/>
      <c r="I638" s="2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  <c r="AC638" s="234"/>
    </row>
    <row r="639" ht="17.25" customHeight="1">
      <c r="A639" s="24"/>
      <c r="B639" s="24"/>
      <c r="C639" s="24"/>
      <c r="D639" s="81"/>
      <c r="E639" s="81"/>
      <c r="F639" s="81"/>
      <c r="G639" s="81"/>
      <c r="H639" s="24"/>
      <c r="I639" s="2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  <c r="AC639" s="234"/>
    </row>
    <row r="640" ht="17.25" customHeight="1">
      <c r="A640" s="24"/>
      <c r="B640" s="24"/>
      <c r="C640" s="24"/>
      <c r="D640" s="81"/>
      <c r="E640" s="81"/>
      <c r="F640" s="81"/>
      <c r="G640" s="81"/>
      <c r="H640" s="24"/>
      <c r="I640" s="2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  <c r="AC640" s="234"/>
    </row>
    <row r="641" ht="17.25" customHeight="1">
      <c r="A641" s="24"/>
      <c r="B641" s="24"/>
      <c r="C641" s="24"/>
      <c r="D641" s="81"/>
      <c r="E641" s="81"/>
      <c r="F641" s="81"/>
      <c r="G641" s="81"/>
      <c r="H641" s="24"/>
      <c r="I641" s="2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  <c r="AC641" s="234"/>
    </row>
    <row r="642" ht="17.25" customHeight="1">
      <c r="A642" s="24"/>
      <c r="B642" s="24"/>
      <c r="C642" s="24"/>
      <c r="D642" s="81"/>
      <c r="E642" s="81"/>
      <c r="F642" s="81"/>
      <c r="G642" s="81"/>
      <c r="H642" s="24"/>
      <c r="I642" s="2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  <c r="AC642" s="234"/>
    </row>
    <row r="643" ht="17.25" customHeight="1">
      <c r="A643" s="24"/>
      <c r="B643" s="24"/>
      <c r="C643" s="24"/>
      <c r="D643" s="81"/>
      <c r="E643" s="81"/>
      <c r="F643" s="81"/>
      <c r="G643" s="81"/>
      <c r="H643" s="24"/>
      <c r="I643" s="2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  <c r="AC643" s="234"/>
    </row>
    <row r="644" ht="17.25" customHeight="1">
      <c r="A644" s="24"/>
      <c r="B644" s="24"/>
      <c r="C644" s="24"/>
      <c r="D644" s="81"/>
      <c r="E644" s="81"/>
      <c r="F644" s="81"/>
      <c r="G644" s="81"/>
      <c r="H644" s="24"/>
      <c r="I644" s="2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  <c r="AC644" s="234"/>
    </row>
    <row r="645" ht="17.25" customHeight="1">
      <c r="A645" s="24"/>
      <c r="B645" s="24"/>
      <c r="C645" s="24"/>
      <c r="D645" s="81"/>
      <c r="E645" s="81"/>
      <c r="F645" s="81"/>
      <c r="G645" s="81"/>
      <c r="H645" s="24"/>
      <c r="I645" s="2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  <c r="AC645" s="234"/>
    </row>
    <row r="646" ht="17.25" customHeight="1">
      <c r="A646" s="24"/>
      <c r="B646" s="24"/>
      <c r="C646" s="24"/>
      <c r="D646" s="81"/>
      <c r="E646" s="81"/>
      <c r="F646" s="81"/>
      <c r="G646" s="81"/>
      <c r="H646" s="24"/>
      <c r="I646" s="2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  <c r="AC646" s="234"/>
    </row>
    <row r="647" ht="17.25" customHeight="1">
      <c r="A647" s="24"/>
      <c r="B647" s="24"/>
      <c r="C647" s="24"/>
      <c r="D647" s="81"/>
      <c r="E647" s="81"/>
      <c r="F647" s="81"/>
      <c r="G647" s="81"/>
      <c r="H647" s="24"/>
      <c r="I647" s="2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  <c r="AC647" s="234"/>
    </row>
    <row r="648" ht="17.25" customHeight="1">
      <c r="A648" s="24"/>
      <c r="B648" s="24"/>
      <c r="C648" s="24"/>
      <c r="D648" s="81"/>
      <c r="E648" s="81"/>
      <c r="F648" s="81"/>
      <c r="G648" s="81"/>
      <c r="H648" s="24"/>
      <c r="I648" s="2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  <c r="AC648" s="234"/>
    </row>
    <row r="649" ht="17.25" customHeight="1">
      <c r="A649" s="24"/>
      <c r="B649" s="24"/>
      <c r="C649" s="24"/>
      <c r="D649" s="81"/>
      <c r="E649" s="81"/>
      <c r="F649" s="81"/>
      <c r="G649" s="81"/>
      <c r="H649" s="24"/>
      <c r="I649" s="2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  <c r="AC649" s="234"/>
    </row>
    <row r="650" ht="17.25" customHeight="1">
      <c r="A650" s="24"/>
      <c r="B650" s="24"/>
      <c r="C650" s="24"/>
      <c r="D650" s="81"/>
      <c r="E650" s="81"/>
      <c r="F650" s="81"/>
      <c r="G650" s="81"/>
      <c r="H650" s="24"/>
      <c r="I650" s="2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  <c r="AC650" s="234"/>
    </row>
    <row r="651" ht="17.25" customHeight="1">
      <c r="A651" s="24"/>
      <c r="B651" s="24"/>
      <c r="C651" s="24"/>
      <c r="D651" s="81"/>
      <c r="E651" s="81"/>
      <c r="F651" s="81"/>
      <c r="G651" s="81"/>
      <c r="H651" s="24"/>
      <c r="I651" s="2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  <c r="AC651" s="234"/>
    </row>
    <row r="652" ht="17.25" customHeight="1">
      <c r="A652" s="24"/>
      <c r="B652" s="24"/>
      <c r="C652" s="24"/>
      <c r="D652" s="81"/>
      <c r="E652" s="81"/>
      <c r="F652" s="81"/>
      <c r="G652" s="81"/>
      <c r="H652" s="24"/>
      <c r="I652" s="2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  <c r="AC652" s="234"/>
    </row>
    <row r="653" ht="17.25" customHeight="1">
      <c r="A653" s="24"/>
      <c r="B653" s="24"/>
      <c r="C653" s="24"/>
      <c r="D653" s="81"/>
      <c r="E653" s="81"/>
      <c r="F653" s="81"/>
      <c r="G653" s="81"/>
      <c r="H653" s="24"/>
      <c r="I653" s="2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  <c r="AC653" s="234"/>
    </row>
    <row r="654" ht="17.25" customHeight="1">
      <c r="A654" s="24"/>
      <c r="B654" s="24"/>
      <c r="C654" s="24"/>
      <c r="D654" s="81"/>
      <c r="E654" s="81"/>
      <c r="F654" s="81"/>
      <c r="G654" s="81"/>
      <c r="H654" s="24"/>
      <c r="I654" s="2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  <c r="AC654" s="234"/>
    </row>
    <row r="655" ht="17.25" customHeight="1">
      <c r="A655" s="24"/>
      <c r="B655" s="24"/>
      <c r="C655" s="24"/>
      <c r="D655" s="81"/>
      <c r="E655" s="81"/>
      <c r="F655" s="81"/>
      <c r="G655" s="81"/>
      <c r="H655" s="24"/>
      <c r="I655" s="2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  <c r="AC655" s="234"/>
    </row>
    <row r="656" ht="17.25" customHeight="1">
      <c r="A656" s="24"/>
      <c r="B656" s="24"/>
      <c r="C656" s="24"/>
      <c r="D656" s="81"/>
      <c r="E656" s="81"/>
      <c r="F656" s="81"/>
      <c r="G656" s="81"/>
      <c r="H656" s="24"/>
      <c r="I656" s="2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  <c r="AC656" s="234"/>
    </row>
    <row r="657" ht="17.25" customHeight="1">
      <c r="A657" s="24"/>
      <c r="B657" s="24"/>
      <c r="C657" s="24"/>
      <c r="D657" s="81"/>
      <c r="E657" s="81"/>
      <c r="F657" s="81"/>
      <c r="G657" s="81"/>
      <c r="H657" s="24"/>
      <c r="I657" s="2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  <c r="AC657" s="234"/>
    </row>
    <row r="658" ht="17.25" customHeight="1">
      <c r="A658" s="24"/>
      <c r="B658" s="24"/>
      <c r="C658" s="24"/>
      <c r="D658" s="81"/>
      <c r="E658" s="81"/>
      <c r="F658" s="81"/>
      <c r="G658" s="81"/>
      <c r="H658" s="24"/>
      <c r="I658" s="2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  <c r="AC658" s="234"/>
    </row>
    <row r="659" ht="17.25" customHeight="1">
      <c r="A659" s="24"/>
      <c r="B659" s="24"/>
      <c r="C659" s="24"/>
      <c r="D659" s="81"/>
      <c r="E659" s="81"/>
      <c r="F659" s="81"/>
      <c r="G659" s="81"/>
      <c r="H659" s="24"/>
      <c r="I659" s="2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</row>
    <row r="660" ht="17.25" customHeight="1">
      <c r="A660" s="24"/>
      <c r="B660" s="24"/>
      <c r="C660" s="24"/>
      <c r="D660" s="81"/>
      <c r="E660" s="81"/>
      <c r="F660" s="81"/>
      <c r="G660" s="81"/>
      <c r="H660" s="24"/>
      <c r="I660" s="2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  <c r="AC660" s="234"/>
    </row>
    <row r="661" ht="17.25" customHeight="1">
      <c r="A661" s="24"/>
      <c r="B661" s="24"/>
      <c r="C661" s="24"/>
      <c r="D661" s="81"/>
      <c r="E661" s="81"/>
      <c r="F661" s="81"/>
      <c r="G661" s="81"/>
      <c r="H661" s="24"/>
      <c r="I661" s="2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  <c r="AC661" s="234"/>
    </row>
    <row r="662" ht="17.25" customHeight="1">
      <c r="A662" s="24"/>
      <c r="B662" s="24"/>
      <c r="C662" s="24"/>
      <c r="D662" s="81"/>
      <c r="E662" s="81"/>
      <c r="F662" s="81"/>
      <c r="G662" s="81"/>
      <c r="H662" s="24"/>
      <c r="I662" s="2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  <c r="AC662" s="234"/>
    </row>
    <row r="663" ht="17.25" customHeight="1">
      <c r="A663" s="24"/>
      <c r="B663" s="24"/>
      <c r="C663" s="24"/>
      <c r="D663" s="81"/>
      <c r="E663" s="81"/>
      <c r="F663" s="81"/>
      <c r="G663" s="81"/>
      <c r="H663" s="24"/>
      <c r="I663" s="2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  <c r="AC663" s="234"/>
    </row>
    <row r="664" ht="17.25" customHeight="1">
      <c r="A664" s="24"/>
      <c r="B664" s="24"/>
      <c r="C664" s="24"/>
      <c r="D664" s="81"/>
      <c r="E664" s="81"/>
      <c r="F664" s="81"/>
      <c r="G664" s="81"/>
      <c r="H664" s="24"/>
      <c r="I664" s="2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  <c r="AC664" s="234"/>
    </row>
    <row r="665" ht="17.25" customHeight="1">
      <c r="A665" s="24"/>
      <c r="B665" s="24"/>
      <c r="C665" s="24"/>
      <c r="D665" s="81"/>
      <c r="E665" s="81"/>
      <c r="F665" s="81"/>
      <c r="G665" s="81"/>
      <c r="H665" s="24"/>
      <c r="I665" s="2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  <c r="AC665" s="234"/>
    </row>
    <row r="666" ht="17.25" customHeight="1">
      <c r="A666" s="24"/>
      <c r="B666" s="24"/>
      <c r="C666" s="24"/>
      <c r="D666" s="81"/>
      <c r="E666" s="81"/>
      <c r="F666" s="81"/>
      <c r="G666" s="81"/>
      <c r="H666" s="24"/>
      <c r="I666" s="2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  <c r="AC666" s="234"/>
    </row>
    <row r="667" ht="17.25" customHeight="1">
      <c r="A667" s="24"/>
      <c r="B667" s="24"/>
      <c r="C667" s="24"/>
      <c r="D667" s="81"/>
      <c r="E667" s="81"/>
      <c r="F667" s="81"/>
      <c r="G667" s="81"/>
      <c r="H667" s="24"/>
      <c r="I667" s="2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  <c r="AC667" s="234"/>
    </row>
    <row r="668" ht="17.25" customHeight="1">
      <c r="A668" s="24"/>
      <c r="B668" s="24"/>
      <c r="C668" s="24"/>
      <c r="D668" s="81"/>
      <c r="E668" s="81"/>
      <c r="F668" s="81"/>
      <c r="G668" s="81"/>
      <c r="H668" s="24"/>
      <c r="I668" s="2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  <c r="AC668" s="234"/>
    </row>
    <row r="669" ht="17.25" customHeight="1">
      <c r="A669" s="24"/>
      <c r="B669" s="24"/>
      <c r="C669" s="24"/>
      <c r="D669" s="81"/>
      <c r="E669" s="81"/>
      <c r="F669" s="81"/>
      <c r="G669" s="81"/>
      <c r="H669" s="24"/>
      <c r="I669" s="2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  <c r="AC669" s="234"/>
    </row>
    <row r="670" ht="17.25" customHeight="1">
      <c r="A670" s="24"/>
      <c r="B670" s="24"/>
      <c r="C670" s="24"/>
      <c r="D670" s="81"/>
      <c r="E670" s="81"/>
      <c r="F670" s="81"/>
      <c r="G670" s="81"/>
      <c r="H670" s="24"/>
      <c r="I670" s="2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  <c r="AC670" s="234"/>
    </row>
    <row r="671" ht="17.25" customHeight="1">
      <c r="A671" s="24"/>
      <c r="B671" s="24"/>
      <c r="C671" s="24"/>
      <c r="D671" s="81"/>
      <c r="E671" s="81"/>
      <c r="F671" s="81"/>
      <c r="G671" s="81"/>
      <c r="H671" s="24"/>
      <c r="I671" s="2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  <c r="AC671" s="234"/>
    </row>
    <row r="672" ht="17.25" customHeight="1">
      <c r="A672" s="24"/>
      <c r="B672" s="24"/>
      <c r="C672" s="24"/>
      <c r="D672" s="81"/>
      <c r="E672" s="81"/>
      <c r="F672" s="81"/>
      <c r="G672" s="81"/>
      <c r="H672" s="24"/>
      <c r="I672" s="2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  <c r="AC672" s="234"/>
    </row>
    <row r="673" ht="17.25" customHeight="1">
      <c r="A673" s="24"/>
      <c r="B673" s="24"/>
      <c r="C673" s="24"/>
      <c r="D673" s="81"/>
      <c r="E673" s="81"/>
      <c r="F673" s="81"/>
      <c r="G673" s="81"/>
      <c r="H673" s="24"/>
      <c r="I673" s="2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  <c r="AC673" s="234"/>
    </row>
    <row r="674" ht="17.25" customHeight="1">
      <c r="A674" s="24"/>
      <c r="B674" s="24"/>
      <c r="C674" s="24"/>
      <c r="D674" s="81"/>
      <c r="E674" s="81"/>
      <c r="F674" s="81"/>
      <c r="G674" s="81"/>
      <c r="H674" s="24"/>
      <c r="I674" s="2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  <c r="AC674" s="234"/>
    </row>
    <row r="675" ht="17.25" customHeight="1">
      <c r="A675" s="24"/>
      <c r="B675" s="24"/>
      <c r="C675" s="24"/>
      <c r="D675" s="81"/>
      <c r="E675" s="81"/>
      <c r="F675" s="81"/>
      <c r="G675" s="81"/>
      <c r="H675" s="24"/>
      <c r="I675" s="2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  <c r="AC675" s="234"/>
    </row>
    <row r="676" ht="17.25" customHeight="1">
      <c r="A676" s="24"/>
      <c r="B676" s="24"/>
      <c r="C676" s="24"/>
      <c r="D676" s="81"/>
      <c r="E676" s="81"/>
      <c r="F676" s="81"/>
      <c r="G676" s="81"/>
      <c r="H676" s="24"/>
      <c r="I676" s="2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  <c r="AC676" s="234"/>
    </row>
    <row r="677" ht="17.25" customHeight="1">
      <c r="A677" s="24"/>
      <c r="B677" s="24"/>
      <c r="C677" s="24"/>
      <c r="D677" s="81"/>
      <c r="E677" s="81"/>
      <c r="F677" s="81"/>
      <c r="G677" s="81"/>
      <c r="H677" s="24"/>
      <c r="I677" s="2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  <c r="AC677" s="234"/>
    </row>
    <row r="678" ht="17.25" customHeight="1">
      <c r="A678" s="24"/>
      <c r="B678" s="24"/>
      <c r="C678" s="24"/>
      <c r="D678" s="81"/>
      <c r="E678" s="81"/>
      <c r="F678" s="81"/>
      <c r="G678" s="81"/>
      <c r="H678" s="24"/>
      <c r="I678" s="2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  <c r="AC678" s="234"/>
    </row>
    <row r="679" ht="17.25" customHeight="1">
      <c r="A679" s="24"/>
      <c r="B679" s="24"/>
      <c r="C679" s="24"/>
      <c r="D679" s="81"/>
      <c r="E679" s="81"/>
      <c r="F679" s="81"/>
      <c r="G679" s="81"/>
      <c r="H679" s="24"/>
      <c r="I679" s="2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  <c r="AC679" s="234"/>
    </row>
    <row r="680" ht="17.25" customHeight="1">
      <c r="A680" s="24"/>
      <c r="B680" s="24"/>
      <c r="C680" s="24"/>
      <c r="D680" s="81"/>
      <c r="E680" s="81"/>
      <c r="F680" s="81"/>
      <c r="G680" s="81"/>
      <c r="H680" s="24"/>
      <c r="I680" s="2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</row>
    <row r="681" ht="17.25" customHeight="1">
      <c r="A681" s="24"/>
      <c r="B681" s="24"/>
      <c r="C681" s="24"/>
      <c r="D681" s="81"/>
      <c r="E681" s="81"/>
      <c r="F681" s="81"/>
      <c r="G681" s="81"/>
      <c r="H681" s="24"/>
      <c r="I681" s="2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</row>
    <row r="682" ht="17.25" customHeight="1">
      <c r="A682" s="24"/>
      <c r="B682" s="24"/>
      <c r="C682" s="24"/>
      <c r="D682" s="81"/>
      <c r="E682" s="81"/>
      <c r="F682" s="81"/>
      <c r="G682" s="81"/>
      <c r="H682" s="24"/>
      <c r="I682" s="2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  <c r="AC682" s="234"/>
    </row>
    <row r="683" ht="17.25" customHeight="1">
      <c r="A683" s="24"/>
      <c r="B683" s="24"/>
      <c r="C683" s="24"/>
      <c r="D683" s="81"/>
      <c r="E683" s="81"/>
      <c r="F683" s="81"/>
      <c r="G683" s="81"/>
      <c r="H683" s="24"/>
      <c r="I683" s="2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  <c r="AC683" s="234"/>
    </row>
    <row r="684" ht="17.25" customHeight="1">
      <c r="A684" s="24"/>
      <c r="B684" s="24"/>
      <c r="C684" s="24"/>
      <c r="D684" s="81"/>
      <c r="E684" s="81"/>
      <c r="F684" s="81"/>
      <c r="G684" s="81"/>
      <c r="H684" s="24"/>
      <c r="I684" s="2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  <c r="AC684" s="234"/>
    </row>
    <row r="685" ht="17.25" customHeight="1">
      <c r="A685" s="24"/>
      <c r="B685" s="24"/>
      <c r="C685" s="24"/>
      <c r="D685" s="81"/>
      <c r="E685" s="81"/>
      <c r="F685" s="81"/>
      <c r="G685" s="81"/>
      <c r="H685" s="24"/>
      <c r="I685" s="2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  <c r="AC685" s="234"/>
    </row>
    <row r="686" ht="17.25" customHeight="1">
      <c r="A686" s="24"/>
      <c r="B686" s="24"/>
      <c r="C686" s="24"/>
      <c r="D686" s="81"/>
      <c r="E686" s="81"/>
      <c r="F686" s="81"/>
      <c r="G686" s="81"/>
      <c r="H686" s="24"/>
      <c r="I686" s="2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  <c r="AC686" s="234"/>
    </row>
    <row r="687" ht="17.25" customHeight="1">
      <c r="A687" s="24"/>
      <c r="B687" s="24"/>
      <c r="C687" s="24"/>
      <c r="D687" s="81"/>
      <c r="E687" s="81"/>
      <c r="F687" s="81"/>
      <c r="G687" s="81"/>
      <c r="H687" s="24"/>
      <c r="I687" s="2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  <c r="AC687" s="234"/>
    </row>
    <row r="688" ht="17.25" customHeight="1">
      <c r="A688" s="24"/>
      <c r="B688" s="24"/>
      <c r="C688" s="24"/>
      <c r="D688" s="81"/>
      <c r="E688" s="81"/>
      <c r="F688" s="81"/>
      <c r="G688" s="81"/>
      <c r="H688" s="24"/>
      <c r="I688" s="2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  <c r="AC688" s="234"/>
    </row>
    <row r="689" ht="17.25" customHeight="1">
      <c r="A689" s="24"/>
      <c r="B689" s="24"/>
      <c r="C689" s="24"/>
      <c r="D689" s="81"/>
      <c r="E689" s="81"/>
      <c r="F689" s="81"/>
      <c r="G689" s="81"/>
      <c r="H689" s="24"/>
      <c r="I689" s="2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  <c r="AC689" s="234"/>
    </row>
    <row r="690" ht="17.25" customHeight="1">
      <c r="A690" s="24"/>
      <c r="B690" s="24"/>
      <c r="C690" s="24"/>
      <c r="D690" s="81"/>
      <c r="E690" s="81"/>
      <c r="F690" s="81"/>
      <c r="G690" s="81"/>
      <c r="H690" s="24"/>
      <c r="I690" s="2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  <c r="AC690" s="234"/>
    </row>
    <row r="691" ht="17.25" customHeight="1">
      <c r="A691" s="24"/>
      <c r="B691" s="24"/>
      <c r="C691" s="24"/>
      <c r="D691" s="81"/>
      <c r="E691" s="81"/>
      <c r="F691" s="81"/>
      <c r="G691" s="81"/>
      <c r="H691" s="24"/>
      <c r="I691" s="2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  <c r="AC691" s="234"/>
    </row>
    <row r="692" ht="17.25" customHeight="1">
      <c r="A692" s="24"/>
      <c r="B692" s="24"/>
      <c r="C692" s="24"/>
      <c r="D692" s="81"/>
      <c r="E692" s="81"/>
      <c r="F692" s="81"/>
      <c r="G692" s="81"/>
      <c r="H692" s="24"/>
      <c r="I692" s="2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  <c r="AC692" s="234"/>
    </row>
    <row r="693" ht="17.25" customHeight="1">
      <c r="A693" s="24"/>
      <c r="B693" s="24"/>
      <c r="C693" s="24"/>
      <c r="D693" s="81"/>
      <c r="E693" s="81"/>
      <c r="F693" s="81"/>
      <c r="G693" s="81"/>
      <c r="H693" s="24"/>
      <c r="I693" s="2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  <c r="AC693" s="234"/>
    </row>
    <row r="694" ht="17.25" customHeight="1">
      <c r="A694" s="24"/>
      <c r="B694" s="24"/>
      <c r="C694" s="24"/>
      <c r="D694" s="81"/>
      <c r="E694" s="81"/>
      <c r="F694" s="81"/>
      <c r="G694" s="81"/>
      <c r="H694" s="24"/>
      <c r="I694" s="2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  <c r="AC694" s="234"/>
    </row>
    <row r="695" ht="17.25" customHeight="1">
      <c r="A695" s="24"/>
      <c r="B695" s="24"/>
      <c r="C695" s="24"/>
      <c r="D695" s="81"/>
      <c r="E695" s="81"/>
      <c r="F695" s="81"/>
      <c r="G695" s="81"/>
      <c r="H695" s="24"/>
      <c r="I695" s="2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  <c r="AC695" s="234"/>
    </row>
    <row r="696" ht="17.25" customHeight="1">
      <c r="A696" s="24"/>
      <c r="B696" s="24"/>
      <c r="C696" s="24"/>
      <c r="D696" s="81"/>
      <c r="E696" s="81"/>
      <c r="F696" s="81"/>
      <c r="G696" s="81"/>
      <c r="H696" s="24"/>
      <c r="I696" s="2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  <c r="AC696" s="234"/>
    </row>
    <row r="697" ht="17.25" customHeight="1">
      <c r="A697" s="24"/>
      <c r="B697" s="24"/>
      <c r="C697" s="24"/>
      <c r="D697" s="81"/>
      <c r="E697" s="81"/>
      <c r="F697" s="81"/>
      <c r="G697" s="81"/>
      <c r="H697" s="24"/>
      <c r="I697" s="2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  <c r="AC697" s="234"/>
    </row>
    <row r="698" ht="17.25" customHeight="1">
      <c r="A698" s="24"/>
      <c r="B698" s="24"/>
      <c r="C698" s="24"/>
      <c r="D698" s="81"/>
      <c r="E698" s="81"/>
      <c r="F698" s="81"/>
      <c r="G698" s="81"/>
      <c r="H698" s="24"/>
      <c r="I698" s="2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  <c r="AC698" s="234"/>
    </row>
    <row r="699" ht="17.25" customHeight="1">
      <c r="A699" s="24"/>
      <c r="B699" s="24"/>
      <c r="C699" s="24"/>
      <c r="D699" s="81"/>
      <c r="E699" s="81"/>
      <c r="F699" s="81"/>
      <c r="G699" s="81"/>
      <c r="H699" s="24"/>
      <c r="I699" s="2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  <c r="AC699" s="234"/>
    </row>
    <row r="700" ht="17.25" customHeight="1">
      <c r="A700" s="24"/>
      <c r="B700" s="24"/>
      <c r="C700" s="24"/>
      <c r="D700" s="81"/>
      <c r="E700" s="81"/>
      <c r="F700" s="81"/>
      <c r="G700" s="81"/>
      <c r="H700" s="24"/>
      <c r="I700" s="2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  <c r="AC700" s="234"/>
    </row>
    <row r="701" ht="17.25" customHeight="1">
      <c r="A701" s="24"/>
      <c r="B701" s="24"/>
      <c r="C701" s="24"/>
      <c r="D701" s="81"/>
      <c r="E701" s="81"/>
      <c r="F701" s="81"/>
      <c r="G701" s="81"/>
      <c r="H701" s="24"/>
      <c r="I701" s="2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  <c r="AC701" s="234"/>
    </row>
    <row r="702" ht="17.25" customHeight="1">
      <c r="A702" s="24"/>
      <c r="B702" s="24"/>
      <c r="C702" s="24"/>
      <c r="D702" s="81"/>
      <c r="E702" s="81"/>
      <c r="F702" s="81"/>
      <c r="G702" s="81"/>
      <c r="H702" s="24"/>
      <c r="I702" s="2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  <c r="AC702" s="234"/>
    </row>
    <row r="703" ht="17.25" customHeight="1">
      <c r="A703" s="24"/>
      <c r="B703" s="24"/>
      <c r="C703" s="24"/>
      <c r="D703" s="81"/>
      <c r="E703" s="81"/>
      <c r="F703" s="81"/>
      <c r="G703" s="81"/>
      <c r="H703" s="24"/>
      <c r="I703" s="2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  <c r="AC703" s="234"/>
    </row>
    <row r="704" ht="17.25" customHeight="1">
      <c r="A704" s="24"/>
      <c r="B704" s="24"/>
      <c r="C704" s="24"/>
      <c r="D704" s="81"/>
      <c r="E704" s="81"/>
      <c r="F704" s="81"/>
      <c r="G704" s="81"/>
      <c r="H704" s="24"/>
      <c r="I704" s="2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  <c r="AC704" s="234"/>
    </row>
    <row r="705" ht="17.25" customHeight="1">
      <c r="A705" s="24"/>
      <c r="B705" s="24"/>
      <c r="C705" s="24"/>
      <c r="D705" s="81"/>
      <c r="E705" s="81"/>
      <c r="F705" s="81"/>
      <c r="G705" s="81"/>
      <c r="H705" s="24"/>
      <c r="I705" s="2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  <c r="AC705" s="234"/>
    </row>
    <row r="706" ht="17.25" customHeight="1">
      <c r="A706" s="24"/>
      <c r="B706" s="24"/>
      <c r="C706" s="24"/>
      <c r="D706" s="81"/>
      <c r="E706" s="81"/>
      <c r="F706" s="81"/>
      <c r="G706" s="81"/>
      <c r="H706" s="24"/>
      <c r="I706" s="2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  <c r="AC706" s="234"/>
    </row>
    <row r="707" ht="17.25" customHeight="1">
      <c r="A707" s="24"/>
      <c r="B707" s="24"/>
      <c r="C707" s="24"/>
      <c r="D707" s="81"/>
      <c r="E707" s="81"/>
      <c r="F707" s="81"/>
      <c r="G707" s="81"/>
      <c r="H707" s="24"/>
      <c r="I707" s="2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  <c r="AC707" s="234"/>
    </row>
    <row r="708" ht="17.25" customHeight="1">
      <c r="A708" s="24"/>
      <c r="B708" s="24"/>
      <c r="C708" s="24"/>
      <c r="D708" s="81"/>
      <c r="E708" s="81"/>
      <c r="F708" s="81"/>
      <c r="G708" s="81"/>
      <c r="H708" s="24"/>
      <c r="I708" s="2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  <c r="AC708" s="234"/>
    </row>
    <row r="709" ht="17.25" customHeight="1">
      <c r="A709" s="24"/>
      <c r="B709" s="24"/>
      <c r="C709" s="24"/>
      <c r="D709" s="81"/>
      <c r="E709" s="81"/>
      <c r="F709" s="81"/>
      <c r="G709" s="81"/>
      <c r="H709" s="24"/>
      <c r="I709" s="2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  <c r="AC709" s="234"/>
    </row>
    <row r="710" ht="17.25" customHeight="1">
      <c r="A710" s="24"/>
      <c r="B710" s="24"/>
      <c r="C710" s="24"/>
      <c r="D710" s="81"/>
      <c r="E710" s="81"/>
      <c r="F710" s="81"/>
      <c r="G710" s="81"/>
      <c r="H710" s="24"/>
      <c r="I710" s="2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  <c r="AC710" s="234"/>
    </row>
    <row r="711" ht="17.25" customHeight="1">
      <c r="A711" s="24"/>
      <c r="B711" s="24"/>
      <c r="C711" s="24"/>
      <c r="D711" s="81"/>
      <c r="E711" s="81"/>
      <c r="F711" s="81"/>
      <c r="G711" s="81"/>
      <c r="H711" s="24"/>
      <c r="I711" s="2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  <c r="AC711" s="234"/>
    </row>
    <row r="712" ht="17.25" customHeight="1">
      <c r="A712" s="24"/>
      <c r="B712" s="24"/>
      <c r="C712" s="24"/>
      <c r="D712" s="81"/>
      <c r="E712" s="81"/>
      <c r="F712" s="81"/>
      <c r="G712" s="81"/>
      <c r="H712" s="24"/>
      <c r="I712" s="2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  <c r="AC712" s="234"/>
    </row>
    <row r="713" ht="17.25" customHeight="1">
      <c r="A713" s="24"/>
      <c r="B713" s="24"/>
      <c r="C713" s="24"/>
      <c r="D713" s="81"/>
      <c r="E713" s="81"/>
      <c r="F713" s="81"/>
      <c r="G713" s="81"/>
      <c r="H713" s="24"/>
      <c r="I713" s="2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  <c r="AC713" s="234"/>
    </row>
    <row r="714" ht="17.25" customHeight="1">
      <c r="A714" s="24"/>
      <c r="B714" s="24"/>
      <c r="C714" s="24"/>
      <c r="D714" s="81"/>
      <c r="E714" s="81"/>
      <c r="F714" s="81"/>
      <c r="G714" s="81"/>
      <c r="H714" s="24"/>
      <c r="I714" s="2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  <c r="AC714" s="234"/>
    </row>
    <row r="715" ht="17.25" customHeight="1">
      <c r="A715" s="24"/>
      <c r="B715" s="24"/>
      <c r="C715" s="24"/>
      <c r="D715" s="81"/>
      <c r="E715" s="81"/>
      <c r="F715" s="81"/>
      <c r="G715" s="81"/>
      <c r="H715" s="24"/>
      <c r="I715" s="2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  <c r="AC715" s="234"/>
    </row>
    <row r="716" ht="17.25" customHeight="1">
      <c r="A716" s="24"/>
      <c r="B716" s="24"/>
      <c r="C716" s="24"/>
      <c r="D716" s="81"/>
      <c r="E716" s="81"/>
      <c r="F716" s="81"/>
      <c r="G716" s="81"/>
      <c r="H716" s="24"/>
      <c r="I716" s="2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  <c r="AC716" s="234"/>
    </row>
    <row r="717" ht="17.25" customHeight="1">
      <c r="A717" s="24"/>
      <c r="B717" s="24"/>
      <c r="C717" s="24"/>
      <c r="D717" s="81"/>
      <c r="E717" s="81"/>
      <c r="F717" s="81"/>
      <c r="G717" s="81"/>
      <c r="H717" s="24"/>
      <c r="I717" s="2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  <c r="AC717" s="234"/>
    </row>
    <row r="718" ht="17.25" customHeight="1">
      <c r="A718" s="24"/>
      <c r="B718" s="24"/>
      <c r="C718" s="24"/>
      <c r="D718" s="81"/>
      <c r="E718" s="81"/>
      <c r="F718" s="81"/>
      <c r="G718" s="81"/>
      <c r="H718" s="24"/>
      <c r="I718" s="2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  <c r="AC718" s="234"/>
    </row>
    <row r="719" ht="17.25" customHeight="1">
      <c r="A719" s="24"/>
      <c r="B719" s="24"/>
      <c r="C719" s="24"/>
      <c r="D719" s="81"/>
      <c r="E719" s="81"/>
      <c r="F719" s="81"/>
      <c r="G719" s="81"/>
      <c r="H719" s="24"/>
      <c r="I719" s="2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  <c r="AC719" s="234"/>
    </row>
    <row r="720" ht="17.25" customHeight="1">
      <c r="A720" s="24"/>
      <c r="B720" s="24"/>
      <c r="C720" s="24"/>
      <c r="D720" s="81"/>
      <c r="E720" s="81"/>
      <c r="F720" s="81"/>
      <c r="G720" s="81"/>
      <c r="H720" s="24"/>
      <c r="I720" s="2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  <c r="AC720" s="234"/>
    </row>
    <row r="721" ht="17.25" customHeight="1">
      <c r="A721" s="24"/>
      <c r="B721" s="24"/>
      <c r="C721" s="24"/>
      <c r="D721" s="81"/>
      <c r="E721" s="81"/>
      <c r="F721" s="81"/>
      <c r="G721" s="81"/>
      <c r="H721" s="24"/>
      <c r="I721" s="2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  <c r="AC721" s="234"/>
    </row>
    <row r="722" ht="17.25" customHeight="1">
      <c r="A722" s="24"/>
      <c r="B722" s="24"/>
      <c r="C722" s="24"/>
      <c r="D722" s="81"/>
      <c r="E722" s="81"/>
      <c r="F722" s="81"/>
      <c r="G722" s="81"/>
      <c r="H722" s="24"/>
      <c r="I722" s="2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  <c r="AC722" s="234"/>
    </row>
    <row r="723" ht="17.25" customHeight="1">
      <c r="A723" s="24"/>
      <c r="B723" s="24"/>
      <c r="C723" s="24"/>
      <c r="D723" s="81"/>
      <c r="E723" s="81"/>
      <c r="F723" s="81"/>
      <c r="G723" s="81"/>
      <c r="H723" s="24"/>
      <c r="I723" s="2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  <c r="AC723" s="234"/>
    </row>
    <row r="724" ht="17.25" customHeight="1">
      <c r="A724" s="24"/>
      <c r="B724" s="24"/>
      <c r="C724" s="24"/>
      <c r="D724" s="81"/>
      <c r="E724" s="81"/>
      <c r="F724" s="81"/>
      <c r="G724" s="81"/>
      <c r="H724" s="24"/>
      <c r="I724" s="2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  <c r="AC724" s="234"/>
    </row>
    <row r="725" ht="17.25" customHeight="1">
      <c r="A725" s="24"/>
      <c r="B725" s="24"/>
      <c r="C725" s="24"/>
      <c r="D725" s="81"/>
      <c r="E725" s="81"/>
      <c r="F725" s="81"/>
      <c r="G725" s="81"/>
      <c r="H725" s="24"/>
      <c r="I725" s="2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  <c r="AC725" s="234"/>
    </row>
    <row r="726" ht="17.25" customHeight="1">
      <c r="A726" s="24"/>
      <c r="B726" s="24"/>
      <c r="C726" s="24"/>
      <c r="D726" s="81"/>
      <c r="E726" s="81"/>
      <c r="F726" s="81"/>
      <c r="G726" s="81"/>
      <c r="H726" s="24"/>
      <c r="I726" s="2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  <c r="AC726" s="234"/>
    </row>
    <row r="727" ht="17.25" customHeight="1">
      <c r="A727" s="24"/>
      <c r="B727" s="24"/>
      <c r="C727" s="24"/>
      <c r="D727" s="81"/>
      <c r="E727" s="81"/>
      <c r="F727" s="81"/>
      <c r="G727" s="81"/>
      <c r="H727" s="24"/>
      <c r="I727" s="2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  <c r="AC727" s="234"/>
    </row>
    <row r="728" ht="17.25" customHeight="1">
      <c r="A728" s="24"/>
      <c r="B728" s="24"/>
      <c r="C728" s="24"/>
      <c r="D728" s="81"/>
      <c r="E728" s="81"/>
      <c r="F728" s="81"/>
      <c r="G728" s="81"/>
      <c r="H728" s="24"/>
      <c r="I728" s="2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  <c r="AC728" s="234"/>
    </row>
    <row r="729" ht="17.25" customHeight="1">
      <c r="A729" s="24"/>
      <c r="B729" s="24"/>
      <c r="C729" s="24"/>
      <c r="D729" s="81"/>
      <c r="E729" s="81"/>
      <c r="F729" s="81"/>
      <c r="G729" s="81"/>
      <c r="H729" s="24"/>
      <c r="I729" s="2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  <c r="AC729" s="234"/>
    </row>
    <row r="730" ht="17.25" customHeight="1">
      <c r="A730" s="24"/>
      <c r="B730" s="24"/>
      <c r="C730" s="24"/>
      <c r="D730" s="81"/>
      <c r="E730" s="81"/>
      <c r="F730" s="81"/>
      <c r="G730" s="81"/>
      <c r="H730" s="24"/>
      <c r="I730" s="2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  <c r="AC730" s="234"/>
    </row>
    <row r="731" ht="17.25" customHeight="1">
      <c r="A731" s="24"/>
      <c r="B731" s="24"/>
      <c r="C731" s="24"/>
      <c r="D731" s="81"/>
      <c r="E731" s="81"/>
      <c r="F731" s="81"/>
      <c r="G731" s="81"/>
      <c r="H731" s="24"/>
      <c r="I731" s="2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  <c r="AC731" s="234"/>
    </row>
    <row r="732" ht="17.25" customHeight="1">
      <c r="A732" s="24"/>
      <c r="B732" s="24"/>
      <c r="C732" s="24"/>
      <c r="D732" s="81"/>
      <c r="E732" s="81"/>
      <c r="F732" s="81"/>
      <c r="G732" s="81"/>
      <c r="H732" s="24"/>
      <c r="I732" s="2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  <c r="AC732" s="234"/>
    </row>
    <row r="733" ht="17.25" customHeight="1">
      <c r="A733" s="24"/>
      <c r="B733" s="24"/>
      <c r="C733" s="24"/>
      <c r="D733" s="81"/>
      <c r="E733" s="81"/>
      <c r="F733" s="81"/>
      <c r="G733" s="81"/>
      <c r="H733" s="24"/>
      <c r="I733" s="2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  <c r="AC733" s="234"/>
    </row>
    <row r="734" ht="17.25" customHeight="1">
      <c r="A734" s="24"/>
      <c r="B734" s="24"/>
      <c r="C734" s="24"/>
      <c r="D734" s="81"/>
      <c r="E734" s="81"/>
      <c r="F734" s="81"/>
      <c r="G734" s="81"/>
      <c r="H734" s="24"/>
      <c r="I734" s="2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  <c r="AC734" s="234"/>
    </row>
    <row r="735" ht="17.25" customHeight="1">
      <c r="A735" s="24"/>
      <c r="B735" s="24"/>
      <c r="C735" s="24"/>
      <c r="D735" s="81"/>
      <c r="E735" s="81"/>
      <c r="F735" s="81"/>
      <c r="G735" s="81"/>
      <c r="H735" s="24"/>
      <c r="I735" s="2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  <c r="AC735" s="234"/>
    </row>
    <row r="736" ht="17.25" customHeight="1">
      <c r="A736" s="24"/>
      <c r="B736" s="24"/>
      <c r="C736" s="24"/>
      <c r="D736" s="81"/>
      <c r="E736" s="81"/>
      <c r="F736" s="81"/>
      <c r="G736" s="81"/>
      <c r="H736" s="24"/>
      <c r="I736" s="2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  <c r="AC736" s="234"/>
    </row>
    <row r="737" ht="17.25" customHeight="1">
      <c r="A737" s="24"/>
      <c r="B737" s="24"/>
      <c r="C737" s="24"/>
      <c r="D737" s="81"/>
      <c r="E737" s="81"/>
      <c r="F737" s="81"/>
      <c r="G737" s="81"/>
      <c r="H737" s="24"/>
      <c r="I737" s="2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  <c r="AC737" s="234"/>
    </row>
    <row r="738" ht="17.25" customHeight="1">
      <c r="A738" s="24"/>
      <c r="B738" s="24"/>
      <c r="C738" s="24"/>
      <c r="D738" s="81"/>
      <c r="E738" s="81"/>
      <c r="F738" s="81"/>
      <c r="G738" s="81"/>
      <c r="H738" s="24"/>
      <c r="I738" s="2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  <c r="AC738" s="234"/>
    </row>
    <row r="739" ht="17.25" customHeight="1">
      <c r="A739" s="24"/>
      <c r="B739" s="24"/>
      <c r="C739" s="24"/>
      <c r="D739" s="81"/>
      <c r="E739" s="81"/>
      <c r="F739" s="81"/>
      <c r="G739" s="81"/>
      <c r="H739" s="24"/>
      <c r="I739" s="2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  <c r="AC739" s="234"/>
    </row>
    <row r="740" ht="17.25" customHeight="1">
      <c r="A740" s="24"/>
      <c r="B740" s="24"/>
      <c r="C740" s="24"/>
      <c r="D740" s="81"/>
      <c r="E740" s="81"/>
      <c r="F740" s="81"/>
      <c r="G740" s="81"/>
      <c r="H740" s="24"/>
      <c r="I740" s="2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  <c r="AC740" s="234"/>
    </row>
    <row r="741" ht="17.25" customHeight="1">
      <c r="A741" s="24"/>
      <c r="B741" s="24"/>
      <c r="C741" s="24"/>
      <c r="D741" s="81"/>
      <c r="E741" s="81"/>
      <c r="F741" s="81"/>
      <c r="G741" s="81"/>
      <c r="H741" s="24"/>
      <c r="I741" s="2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  <c r="AC741" s="234"/>
    </row>
    <row r="742" ht="17.25" customHeight="1">
      <c r="A742" s="24"/>
      <c r="B742" s="24"/>
      <c r="C742" s="24"/>
      <c r="D742" s="81"/>
      <c r="E742" s="81"/>
      <c r="F742" s="81"/>
      <c r="G742" s="81"/>
      <c r="H742" s="24"/>
      <c r="I742" s="2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  <c r="AC742" s="234"/>
    </row>
    <row r="743" ht="17.25" customHeight="1">
      <c r="A743" s="24"/>
      <c r="B743" s="24"/>
      <c r="C743" s="24"/>
      <c r="D743" s="81"/>
      <c r="E743" s="81"/>
      <c r="F743" s="81"/>
      <c r="G743" s="81"/>
      <c r="H743" s="24"/>
      <c r="I743" s="2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  <c r="AC743" s="234"/>
    </row>
    <row r="744" ht="17.25" customHeight="1">
      <c r="A744" s="24"/>
      <c r="B744" s="24"/>
      <c r="C744" s="24"/>
      <c r="D744" s="81"/>
      <c r="E744" s="81"/>
      <c r="F744" s="81"/>
      <c r="G744" s="81"/>
      <c r="H744" s="24"/>
      <c r="I744" s="2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  <c r="AC744" s="234"/>
    </row>
    <row r="745" ht="17.25" customHeight="1">
      <c r="A745" s="24"/>
      <c r="B745" s="24"/>
      <c r="C745" s="24"/>
      <c r="D745" s="81"/>
      <c r="E745" s="81"/>
      <c r="F745" s="81"/>
      <c r="G745" s="81"/>
      <c r="H745" s="24"/>
      <c r="I745" s="2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  <c r="AC745" s="234"/>
    </row>
    <row r="746" ht="17.25" customHeight="1">
      <c r="A746" s="24"/>
      <c r="B746" s="24"/>
      <c r="C746" s="24"/>
      <c r="D746" s="81"/>
      <c r="E746" s="81"/>
      <c r="F746" s="81"/>
      <c r="G746" s="81"/>
      <c r="H746" s="24"/>
      <c r="I746" s="2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  <c r="AC746" s="234"/>
    </row>
    <row r="747" ht="17.25" customHeight="1">
      <c r="A747" s="24"/>
      <c r="B747" s="24"/>
      <c r="C747" s="24"/>
      <c r="D747" s="81"/>
      <c r="E747" s="81"/>
      <c r="F747" s="81"/>
      <c r="G747" s="81"/>
      <c r="H747" s="24"/>
      <c r="I747" s="2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  <c r="AC747" s="234"/>
    </row>
    <row r="748" ht="17.25" customHeight="1">
      <c r="A748" s="24"/>
      <c r="B748" s="24"/>
      <c r="C748" s="24"/>
      <c r="D748" s="81"/>
      <c r="E748" s="81"/>
      <c r="F748" s="81"/>
      <c r="G748" s="81"/>
      <c r="H748" s="24"/>
      <c r="I748" s="2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  <c r="AC748" s="234"/>
    </row>
    <row r="749" ht="17.25" customHeight="1">
      <c r="A749" s="24"/>
      <c r="B749" s="24"/>
      <c r="C749" s="24"/>
      <c r="D749" s="81"/>
      <c r="E749" s="81"/>
      <c r="F749" s="81"/>
      <c r="G749" s="81"/>
      <c r="H749" s="24"/>
      <c r="I749" s="2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  <c r="AC749" s="234"/>
    </row>
    <row r="750" ht="17.25" customHeight="1">
      <c r="A750" s="24"/>
      <c r="B750" s="24"/>
      <c r="C750" s="24"/>
      <c r="D750" s="81"/>
      <c r="E750" s="81"/>
      <c r="F750" s="81"/>
      <c r="G750" s="81"/>
      <c r="H750" s="24"/>
      <c r="I750" s="2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  <c r="AC750" s="234"/>
    </row>
    <row r="751" ht="17.25" customHeight="1">
      <c r="A751" s="24"/>
      <c r="B751" s="24"/>
      <c r="C751" s="24"/>
      <c r="D751" s="81"/>
      <c r="E751" s="81"/>
      <c r="F751" s="81"/>
      <c r="G751" s="81"/>
      <c r="H751" s="24"/>
      <c r="I751" s="2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  <c r="AC751" s="234"/>
    </row>
    <row r="752" ht="17.25" customHeight="1">
      <c r="A752" s="24"/>
      <c r="B752" s="24"/>
      <c r="C752" s="24"/>
      <c r="D752" s="81"/>
      <c r="E752" s="81"/>
      <c r="F752" s="81"/>
      <c r="G752" s="81"/>
      <c r="H752" s="24"/>
      <c r="I752" s="2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  <c r="AC752" s="234"/>
    </row>
    <row r="753" ht="17.25" customHeight="1">
      <c r="A753" s="24"/>
      <c r="B753" s="24"/>
      <c r="C753" s="24"/>
      <c r="D753" s="81"/>
      <c r="E753" s="81"/>
      <c r="F753" s="81"/>
      <c r="G753" s="81"/>
      <c r="H753" s="24"/>
      <c r="I753" s="2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  <c r="AC753" s="234"/>
    </row>
    <row r="754" ht="17.25" customHeight="1">
      <c r="A754" s="24"/>
      <c r="B754" s="24"/>
      <c r="C754" s="24"/>
      <c r="D754" s="81"/>
      <c r="E754" s="81"/>
      <c r="F754" s="81"/>
      <c r="G754" s="81"/>
      <c r="H754" s="24"/>
      <c r="I754" s="2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</row>
    <row r="755" ht="17.25" customHeight="1">
      <c r="A755" s="24"/>
      <c r="B755" s="24"/>
      <c r="C755" s="24"/>
      <c r="D755" s="81"/>
      <c r="E755" s="81"/>
      <c r="F755" s="81"/>
      <c r="G755" s="81"/>
      <c r="H755" s="24"/>
      <c r="I755" s="2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  <c r="AC755" s="234"/>
    </row>
    <row r="756" ht="17.25" customHeight="1">
      <c r="A756" s="24"/>
      <c r="B756" s="24"/>
      <c r="C756" s="24"/>
      <c r="D756" s="81"/>
      <c r="E756" s="81"/>
      <c r="F756" s="81"/>
      <c r="G756" s="81"/>
      <c r="H756" s="24"/>
      <c r="I756" s="2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  <c r="AC756" s="234"/>
    </row>
    <row r="757" ht="17.25" customHeight="1">
      <c r="A757" s="24"/>
      <c r="B757" s="24"/>
      <c r="C757" s="24"/>
      <c r="D757" s="81"/>
      <c r="E757" s="81"/>
      <c r="F757" s="81"/>
      <c r="G757" s="81"/>
      <c r="H757" s="24"/>
      <c r="I757" s="2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  <c r="AC757" s="234"/>
    </row>
    <row r="758" ht="17.25" customHeight="1">
      <c r="A758" s="24"/>
      <c r="B758" s="24"/>
      <c r="C758" s="24"/>
      <c r="D758" s="81"/>
      <c r="E758" s="81"/>
      <c r="F758" s="81"/>
      <c r="G758" s="81"/>
      <c r="H758" s="24"/>
      <c r="I758" s="2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  <c r="AC758" s="234"/>
    </row>
    <row r="759" ht="17.25" customHeight="1">
      <c r="A759" s="24"/>
      <c r="B759" s="24"/>
      <c r="C759" s="24"/>
      <c r="D759" s="81"/>
      <c r="E759" s="81"/>
      <c r="F759" s="81"/>
      <c r="G759" s="81"/>
      <c r="H759" s="24"/>
      <c r="I759" s="2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  <c r="AC759" s="234"/>
    </row>
    <row r="760" ht="17.25" customHeight="1">
      <c r="A760" s="24"/>
      <c r="B760" s="24"/>
      <c r="C760" s="24"/>
      <c r="D760" s="81"/>
      <c r="E760" s="81"/>
      <c r="F760" s="81"/>
      <c r="G760" s="81"/>
      <c r="H760" s="24"/>
      <c r="I760" s="2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  <c r="AC760" s="234"/>
    </row>
    <row r="761" ht="17.25" customHeight="1">
      <c r="A761" s="24"/>
      <c r="B761" s="24"/>
      <c r="C761" s="24"/>
      <c r="D761" s="81"/>
      <c r="E761" s="81"/>
      <c r="F761" s="81"/>
      <c r="G761" s="81"/>
      <c r="H761" s="24"/>
      <c r="I761" s="2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  <c r="AC761" s="234"/>
    </row>
    <row r="762" ht="17.25" customHeight="1">
      <c r="A762" s="24"/>
      <c r="B762" s="24"/>
      <c r="C762" s="24"/>
      <c r="D762" s="81"/>
      <c r="E762" s="81"/>
      <c r="F762" s="81"/>
      <c r="G762" s="81"/>
      <c r="H762" s="24"/>
      <c r="I762" s="2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  <c r="AC762" s="234"/>
    </row>
    <row r="763" ht="17.25" customHeight="1">
      <c r="A763" s="24"/>
      <c r="B763" s="24"/>
      <c r="C763" s="24"/>
      <c r="D763" s="81"/>
      <c r="E763" s="81"/>
      <c r="F763" s="81"/>
      <c r="G763" s="81"/>
      <c r="H763" s="24"/>
      <c r="I763" s="2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  <c r="AC763" s="234"/>
    </row>
    <row r="764" ht="17.25" customHeight="1">
      <c r="A764" s="24"/>
      <c r="B764" s="24"/>
      <c r="C764" s="24"/>
      <c r="D764" s="81"/>
      <c r="E764" s="81"/>
      <c r="F764" s="81"/>
      <c r="G764" s="81"/>
      <c r="H764" s="24"/>
      <c r="I764" s="2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  <c r="AC764" s="234"/>
    </row>
    <row r="765" ht="17.25" customHeight="1">
      <c r="A765" s="24"/>
      <c r="B765" s="24"/>
      <c r="C765" s="24"/>
      <c r="D765" s="81"/>
      <c r="E765" s="81"/>
      <c r="F765" s="81"/>
      <c r="G765" s="81"/>
      <c r="H765" s="24"/>
      <c r="I765" s="2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  <c r="AC765" s="234"/>
    </row>
    <row r="766" ht="17.25" customHeight="1">
      <c r="A766" s="24"/>
      <c r="B766" s="24"/>
      <c r="C766" s="24"/>
      <c r="D766" s="81"/>
      <c r="E766" s="81"/>
      <c r="F766" s="81"/>
      <c r="G766" s="81"/>
      <c r="H766" s="24"/>
      <c r="I766" s="2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  <c r="AC766" s="234"/>
    </row>
    <row r="767" ht="17.25" customHeight="1">
      <c r="A767" s="24"/>
      <c r="B767" s="24"/>
      <c r="C767" s="24"/>
      <c r="D767" s="81"/>
      <c r="E767" s="81"/>
      <c r="F767" s="81"/>
      <c r="G767" s="81"/>
      <c r="H767" s="24"/>
      <c r="I767" s="2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  <c r="AC767" s="234"/>
    </row>
    <row r="768" ht="17.25" customHeight="1">
      <c r="A768" s="24"/>
      <c r="B768" s="24"/>
      <c r="C768" s="24"/>
      <c r="D768" s="81"/>
      <c r="E768" s="81"/>
      <c r="F768" s="81"/>
      <c r="G768" s="81"/>
      <c r="H768" s="24"/>
      <c r="I768" s="2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  <c r="AC768" s="234"/>
    </row>
    <row r="769" ht="17.25" customHeight="1">
      <c r="A769" s="24"/>
      <c r="B769" s="24"/>
      <c r="C769" s="24"/>
      <c r="D769" s="81"/>
      <c r="E769" s="81"/>
      <c r="F769" s="81"/>
      <c r="G769" s="81"/>
      <c r="H769" s="24"/>
      <c r="I769" s="2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  <c r="AC769" s="234"/>
    </row>
    <row r="770" ht="17.25" customHeight="1">
      <c r="A770" s="24"/>
      <c r="B770" s="24"/>
      <c r="C770" s="24"/>
      <c r="D770" s="81"/>
      <c r="E770" s="81"/>
      <c r="F770" s="81"/>
      <c r="G770" s="81"/>
      <c r="H770" s="24"/>
      <c r="I770" s="2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  <c r="AC770" s="234"/>
    </row>
    <row r="771" ht="17.25" customHeight="1">
      <c r="A771" s="24"/>
      <c r="B771" s="24"/>
      <c r="C771" s="24"/>
      <c r="D771" s="81"/>
      <c r="E771" s="81"/>
      <c r="F771" s="81"/>
      <c r="G771" s="81"/>
      <c r="H771" s="24"/>
      <c r="I771" s="2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  <c r="AC771" s="234"/>
    </row>
    <row r="772" ht="17.25" customHeight="1">
      <c r="A772" s="24"/>
      <c r="B772" s="24"/>
      <c r="C772" s="24"/>
      <c r="D772" s="81"/>
      <c r="E772" s="81"/>
      <c r="F772" s="81"/>
      <c r="G772" s="81"/>
      <c r="H772" s="24"/>
      <c r="I772" s="2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  <c r="AC772" s="234"/>
    </row>
    <row r="773" ht="17.25" customHeight="1">
      <c r="A773" s="24"/>
      <c r="B773" s="24"/>
      <c r="C773" s="24"/>
      <c r="D773" s="81"/>
      <c r="E773" s="81"/>
      <c r="F773" s="81"/>
      <c r="G773" s="81"/>
      <c r="H773" s="24"/>
      <c r="I773" s="2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  <c r="AC773" s="234"/>
    </row>
    <row r="774" ht="17.25" customHeight="1">
      <c r="A774" s="24"/>
      <c r="B774" s="24"/>
      <c r="C774" s="24"/>
      <c r="D774" s="81"/>
      <c r="E774" s="81"/>
      <c r="F774" s="81"/>
      <c r="G774" s="81"/>
      <c r="H774" s="24"/>
      <c r="I774" s="2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  <c r="AC774" s="234"/>
    </row>
    <row r="775" ht="17.25" customHeight="1">
      <c r="A775" s="24"/>
      <c r="B775" s="24"/>
      <c r="C775" s="24"/>
      <c r="D775" s="81"/>
      <c r="E775" s="81"/>
      <c r="F775" s="81"/>
      <c r="G775" s="81"/>
      <c r="H775" s="24"/>
      <c r="I775" s="2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  <c r="AC775" s="234"/>
    </row>
    <row r="776" ht="17.25" customHeight="1">
      <c r="A776" s="24"/>
      <c r="B776" s="24"/>
      <c r="C776" s="24"/>
      <c r="D776" s="81"/>
      <c r="E776" s="81"/>
      <c r="F776" s="81"/>
      <c r="G776" s="81"/>
      <c r="H776" s="24"/>
      <c r="I776" s="2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  <c r="AC776" s="234"/>
    </row>
    <row r="777" ht="17.25" customHeight="1">
      <c r="A777" s="24"/>
      <c r="B777" s="24"/>
      <c r="C777" s="24"/>
      <c r="D777" s="81"/>
      <c r="E777" s="81"/>
      <c r="F777" s="81"/>
      <c r="G777" s="81"/>
      <c r="H777" s="24"/>
      <c r="I777" s="2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  <c r="AC777" s="234"/>
    </row>
    <row r="778" ht="17.25" customHeight="1">
      <c r="A778" s="24"/>
      <c r="B778" s="24"/>
      <c r="C778" s="24"/>
      <c r="D778" s="81"/>
      <c r="E778" s="81"/>
      <c r="F778" s="81"/>
      <c r="G778" s="81"/>
      <c r="H778" s="24"/>
      <c r="I778" s="2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  <c r="AC778" s="234"/>
    </row>
    <row r="779" ht="17.25" customHeight="1">
      <c r="A779" s="24"/>
      <c r="B779" s="24"/>
      <c r="C779" s="24"/>
      <c r="D779" s="81"/>
      <c r="E779" s="81"/>
      <c r="F779" s="81"/>
      <c r="G779" s="81"/>
      <c r="H779" s="24"/>
      <c r="I779" s="2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  <c r="AC779" s="234"/>
    </row>
    <row r="780" ht="17.25" customHeight="1">
      <c r="A780" s="24"/>
      <c r="B780" s="24"/>
      <c r="C780" s="24"/>
      <c r="D780" s="81"/>
      <c r="E780" s="81"/>
      <c r="F780" s="81"/>
      <c r="G780" s="81"/>
      <c r="H780" s="24"/>
      <c r="I780" s="2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  <c r="AC780" s="234"/>
    </row>
    <row r="781" ht="17.25" customHeight="1">
      <c r="A781" s="24"/>
      <c r="B781" s="24"/>
      <c r="C781" s="24"/>
      <c r="D781" s="81"/>
      <c r="E781" s="81"/>
      <c r="F781" s="81"/>
      <c r="G781" s="81"/>
      <c r="H781" s="24"/>
      <c r="I781" s="2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  <c r="AC781" s="234"/>
    </row>
    <row r="782" ht="17.25" customHeight="1">
      <c r="A782" s="24"/>
      <c r="B782" s="24"/>
      <c r="C782" s="24"/>
      <c r="D782" s="81"/>
      <c r="E782" s="81"/>
      <c r="F782" s="81"/>
      <c r="G782" s="81"/>
      <c r="H782" s="24"/>
      <c r="I782" s="2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  <c r="AC782" s="234"/>
    </row>
    <row r="783" ht="17.25" customHeight="1">
      <c r="A783" s="24"/>
      <c r="B783" s="24"/>
      <c r="C783" s="24"/>
      <c r="D783" s="81"/>
      <c r="E783" s="81"/>
      <c r="F783" s="81"/>
      <c r="G783" s="81"/>
      <c r="H783" s="24"/>
      <c r="I783" s="2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  <c r="AC783" s="234"/>
    </row>
    <row r="784" ht="17.25" customHeight="1">
      <c r="A784" s="24"/>
      <c r="B784" s="24"/>
      <c r="C784" s="24"/>
      <c r="D784" s="81"/>
      <c r="E784" s="81"/>
      <c r="F784" s="81"/>
      <c r="G784" s="81"/>
      <c r="H784" s="24"/>
      <c r="I784" s="2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  <c r="AC784" s="234"/>
    </row>
    <row r="785" ht="17.25" customHeight="1">
      <c r="A785" s="24"/>
      <c r="B785" s="24"/>
      <c r="C785" s="24"/>
      <c r="D785" s="81"/>
      <c r="E785" s="81"/>
      <c r="F785" s="81"/>
      <c r="G785" s="81"/>
      <c r="H785" s="24"/>
      <c r="I785" s="2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  <c r="AC785" s="234"/>
    </row>
    <row r="786" ht="17.25" customHeight="1">
      <c r="A786" s="24"/>
      <c r="B786" s="24"/>
      <c r="C786" s="24"/>
      <c r="D786" s="81"/>
      <c r="E786" s="81"/>
      <c r="F786" s="81"/>
      <c r="G786" s="81"/>
      <c r="H786" s="24"/>
      <c r="I786" s="2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  <c r="AC786" s="234"/>
    </row>
    <row r="787" ht="17.25" customHeight="1">
      <c r="A787" s="24"/>
      <c r="B787" s="24"/>
      <c r="C787" s="24"/>
      <c r="D787" s="81"/>
      <c r="E787" s="81"/>
      <c r="F787" s="81"/>
      <c r="G787" s="81"/>
      <c r="H787" s="24"/>
      <c r="I787" s="2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  <c r="AC787" s="234"/>
    </row>
    <row r="788" ht="17.25" customHeight="1">
      <c r="A788" s="24"/>
      <c r="B788" s="24"/>
      <c r="C788" s="24"/>
      <c r="D788" s="81"/>
      <c r="E788" s="81"/>
      <c r="F788" s="81"/>
      <c r="G788" s="81"/>
      <c r="H788" s="24"/>
      <c r="I788" s="2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  <c r="AC788" s="234"/>
    </row>
    <row r="789" ht="17.25" customHeight="1">
      <c r="A789" s="24"/>
      <c r="B789" s="24"/>
      <c r="C789" s="24"/>
      <c r="D789" s="81"/>
      <c r="E789" s="81"/>
      <c r="F789" s="81"/>
      <c r="G789" s="81"/>
      <c r="H789" s="24"/>
      <c r="I789" s="2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  <c r="AC789" s="234"/>
    </row>
    <row r="790" ht="17.25" customHeight="1">
      <c r="A790" s="24"/>
      <c r="B790" s="24"/>
      <c r="C790" s="24"/>
      <c r="D790" s="81"/>
      <c r="E790" s="81"/>
      <c r="F790" s="81"/>
      <c r="G790" s="81"/>
      <c r="H790" s="24"/>
      <c r="I790" s="2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  <c r="AC790" s="234"/>
    </row>
    <row r="791" ht="17.25" customHeight="1">
      <c r="A791" s="24"/>
      <c r="B791" s="24"/>
      <c r="C791" s="24"/>
      <c r="D791" s="81"/>
      <c r="E791" s="81"/>
      <c r="F791" s="81"/>
      <c r="G791" s="81"/>
      <c r="H791" s="24"/>
      <c r="I791" s="2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  <c r="AC791" s="234"/>
    </row>
    <row r="792" ht="17.25" customHeight="1">
      <c r="A792" s="24"/>
      <c r="B792" s="24"/>
      <c r="C792" s="24"/>
      <c r="D792" s="81"/>
      <c r="E792" s="81"/>
      <c r="F792" s="81"/>
      <c r="G792" s="81"/>
      <c r="H792" s="24"/>
      <c r="I792" s="2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  <c r="AC792" s="234"/>
    </row>
    <row r="793" ht="17.25" customHeight="1">
      <c r="A793" s="24"/>
      <c r="B793" s="24"/>
      <c r="C793" s="24"/>
      <c r="D793" s="81"/>
      <c r="E793" s="81"/>
      <c r="F793" s="81"/>
      <c r="G793" s="81"/>
      <c r="H793" s="24"/>
      <c r="I793" s="2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  <c r="AC793" s="234"/>
    </row>
    <row r="794" ht="17.25" customHeight="1">
      <c r="A794" s="24"/>
      <c r="B794" s="24"/>
      <c r="C794" s="24"/>
      <c r="D794" s="81"/>
      <c r="E794" s="81"/>
      <c r="F794" s="81"/>
      <c r="G794" s="81"/>
      <c r="H794" s="24"/>
      <c r="I794" s="2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  <c r="AC794" s="234"/>
    </row>
    <row r="795" ht="17.25" customHeight="1">
      <c r="A795" s="24"/>
      <c r="B795" s="24"/>
      <c r="C795" s="24"/>
      <c r="D795" s="81"/>
      <c r="E795" s="81"/>
      <c r="F795" s="81"/>
      <c r="G795" s="81"/>
      <c r="H795" s="24"/>
      <c r="I795" s="2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  <c r="AC795" s="234"/>
    </row>
    <row r="796" ht="17.25" customHeight="1">
      <c r="A796" s="24"/>
      <c r="B796" s="24"/>
      <c r="C796" s="24"/>
      <c r="D796" s="81"/>
      <c r="E796" s="81"/>
      <c r="F796" s="81"/>
      <c r="G796" s="81"/>
      <c r="H796" s="24"/>
      <c r="I796" s="2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  <c r="AC796" s="234"/>
    </row>
    <row r="797" ht="17.25" customHeight="1">
      <c r="A797" s="24"/>
      <c r="B797" s="24"/>
      <c r="C797" s="24"/>
      <c r="D797" s="81"/>
      <c r="E797" s="81"/>
      <c r="F797" s="81"/>
      <c r="G797" s="81"/>
      <c r="H797" s="24"/>
      <c r="I797" s="2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  <c r="AC797" s="234"/>
    </row>
    <row r="798" ht="17.25" customHeight="1">
      <c r="A798" s="24"/>
      <c r="B798" s="24"/>
      <c r="C798" s="24"/>
      <c r="D798" s="81"/>
      <c r="E798" s="81"/>
      <c r="F798" s="81"/>
      <c r="G798" s="81"/>
      <c r="H798" s="24"/>
      <c r="I798" s="2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  <c r="AC798" s="234"/>
    </row>
    <row r="799" ht="17.25" customHeight="1">
      <c r="A799" s="24"/>
      <c r="B799" s="24"/>
      <c r="C799" s="24"/>
      <c r="D799" s="81"/>
      <c r="E799" s="81"/>
      <c r="F799" s="81"/>
      <c r="G799" s="81"/>
      <c r="H799" s="24"/>
      <c r="I799" s="2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  <c r="AC799" s="234"/>
    </row>
    <row r="800" ht="17.25" customHeight="1">
      <c r="A800" s="24"/>
      <c r="B800" s="24"/>
      <c r="C800" s="24"/>
      <c r="D800" s="81"/>
      <c r="E800" s="81"/>
      <c r="F800" s="81"/>
      <c r="G800" s="81"/>
      <c r="H800" s="24"/>
      <c r="I800" s="2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  <c r="AC800" s="234"/>
    </row>
    <row r="801" ht="17.25" customHeight="1">
      <c r="A801" s="24"/>
      <c r="B801" s="24"/>
      <c r="C801" s="24"/>
      <c r="D801" s="81"/>
      <c r="E801" s="81"/>
      <c r="F801" s="81"/>
      <c r="G801" s="81"/>
      <c r="H801" s="24"/>
      <c r="I801" s="2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  <c r="AC801" s="234"/>
    </row>
    <row r="802" ht="17.25" customHeight="1">
      <c r="A802" s="24"/>
      <c r="B802" s="24"/>
      <c r="C802" s="24"/>
      <c r="D802" s="81"/>
      <c r="E802" s="81"/>
      <c r="F802" s="81"/>
      <c r="G802" s="81"/>
      <c r="H802" s="24"/>
      <c r="I802" s="2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  <c r="AC802" s="234"/>
    </row>
    <row r="803" ht="17.25" customHeight="1">
      <c r="A803" s="24"/>
      <c r="B803" s="24"/>
      <c r="C803" s="24"/>
      <c r="D803" s="81"/>
      <c r="E803" s="81"/>
      <c r="F803" s="81"/>
      <c r="G803" s="81"/>
      <c r="H803" s="24"/>
      <c r="I803" s="2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  <c r="AC803" s="234"/>
    </row>
    <row r="804" ht="17.25" customHeight="1">
      <c r="A804" s="24"/>
      <c r="B804" s="24"/>
      <c r="C804" s="24"/>
      <c r="D804" s="81"/>
      <c r="E804" s="81"/>
      <c r="F804" s="81"/>
      <c r="G804" s="81"/>
      <c r="H804" s="24"/>
      <c r="I804" s="2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  <c r="AC804" s="234"/>
    </row>
    <row r="805" ht="17.25" customHeight="1">
      <c r="A805" s="24"/>
      <c r="B805" s="24"/>
      <c r="C805" s="24"/>
      <c r="D805" s="81"/>
      <c r="E805" s="81"/>
      <c r="F805" s="81"/>
      <c r="G805" s="81"/>
      <c r="H805" s="24"/>
      <c r="I805" s="2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  <c r="AC805" s="234"/>
    </row>
    <row r="806" ht="17.25" customHeight="1">
      <c r="A806" s="24"/>
      <c r="B806" s="24"/>
      <c r="C806" s="24"/>
      <c r="D806" s="81"/>
      <c r="E806" s="81"/>
      <c r="F806" s="81"/>
      <c r="G806" s="81"/>
      <c r="H806" s="24"/>
      <c r="I806" s="2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  <c r="AC806" s="234"/>
    </row>
    <row r="807" ht="17.25" customHeight="1">
      <c r="A807" s="24"/>
      <c r="B807" s="24"/>
      <c r="C807" s="24"/>
      <c r="D807" s="81"/>
      <c r="E807" s="81"/>
      <c r="F807" s="81"/>
      <c r="G807" s="81"/>
      <c r="H807" s="24"/>
      <c r="I807" s="2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</row>
    <row r="808" ht="17.25" customHeight="1">
      <c r="A808" s="24"/>
      <c r="B808" s="24"/>
      <c r="C808" s="24"/>
      <c r="D808" s="81"/>
      <c r="E808" s="81"/>
      <c r="F808" s="81"/>
      <c r="G808" s="81"/>
      <c r="H808" s="24"/>
      <c r="I808" s="2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  <c r="AC808" s="234"/>
    </row>
    <row r="809" ht="17.25" customHeight="1">
      <c r="A809" s="24"/>
      <c r="B809" s="24"/>
      <c r="C809" s="24"/>
      <c r="D809" s="81"/>
      <c r="E809" s="81"/>
      <c r="F809" s="81"/>
      <c r="G809" s="81"/>
      <c r="H809" s="24"/>
      <c r="I809" s="2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  <c r="AC809" s="234"/>
    </row>
    <row r="810" ht="17.25" customHeight="1">
      <c r="A810" s="24"/>
      <c r="B810" s="24"/>
      <c r="C810" s="24"/>
      <c r="D810" s="81"/>
      <c r="E810" s="81"/>
      <c r="F810" s="81"/>
      <c r="G810" s="81"/>
      <c r="H810" s="24"/>
      <c r="I810" s="2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  <c r="AC810" s="234"/>
    </row>
    <row r="811" ht="17.25" customHeight="1">
      <c r="A811" s="24"/>
      <c r="B811" s="24"/>
      <c r="C811" s="24"/>
      <c r="D811" s="81"/>
      <c r="E811" s="81"/>
      <c r="F811" s="81"/>
      <c r="G811" s="81"/>
      <c r="H811" s="24"/>
      <c r="I811" s="2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  <c r="AC811" s="234"/>
    </row>
    <row r="812" ht="17.25" customHeight="1">
      <c r="A812" s="24"/>
      <c r="B812" s="24"/>
      <c r="C812" s="24"/>
      <c r="D812" s="81"/>
      <c r="E812" s="81"/>
      <c r="F812" s="81"/>
      <c r="G812" s="81"/>
      <c r="H812" s="24"/>
      <c r="I812" s="2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  <c r="AC812" s="234"/>
    </row>
    <row r="813" ht="17.25" customHeight="1">
      <c r="A813" s="24"/>
      <c r="B813" s="24"/>
      <c r="C813" s="24"/>
      <c r="D813" s="81"/>
      <c r="E813" s="81"/>
      <c r="F813" s="81"/>
      <c r="G813" s="81"/>
      <c r="H813" s="24"/>
      <c r="I813" s="2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  <c r="AC813" s="234"/>
    </row>
    <row r="814" ht="17.25" customHeight="1">
      <c r="A814" s="24"/>
      <c r="B814" s="24"/>
      <c r="C814" s="24"/>
      <c r="D814" s="81"/>
      <c r="E814" s="81"/>
      <c r="F814" s="81"/>
      <c r="G814" s="81"/>
      <c r="H814" s="24"/>
      <c r="I814" s="2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  <c r="AC814" s="234"/>
    </row>
    <row r="815" ht="17.25" customHeight="1">
      <c r="A815" s="24"/>
      <c r="B815" s="24"/>
      <c r="C815" s="24"/>
      <c r="D815" s="81"/>
      <c r="E815" s="81"/>
      <c r="F815" s="81"/>
      <c r="G815" s="81"/>
      <c r="H815" s="24"/>
      <c r="I815" s="2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  <c r="AC815" s="234"/>
    </row>
    <row r="816" ht="17.25" customHeight="1">
      <c r="A816" s="24"/>
      <c r="B816" s="24"/>
      <c r="C816" s="24"/>
      <c r="D816" s="81"/>
      <c r="E816" s="81"/>
      <c r="F816" s="81"/>
      <c r="G816" s="81"/>
      <c r="H816" s="24"/>
      <c r="I816" s="2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  <c r="AC816" s="234"/>
    </row>
    <row r="817" ht="17.25" customHeight="1">
      <c r="A817" s="24"/>
      <c r="B817" s="24"/>
      <c r="C817" s="24"/>
      <c r="D817" s="81"/>
      <c r="E817" s="81"/>
      <c r="F817" s="81"/>
      <c r="G817" s="81"/>
      <c r="H817" s="24"/>
      <c r="I817" s="2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  <c r="AC817" s="234"/>
    </row>
    <row r="818" ht="17.25" customHeight="1">
      <c r="A818" s="24"/>
      <c r="B818" s="24"/>
      <c r="C818" s="24"/>
      <c r="D818" s="81"/>
      <c r="E818" s="81"/>
      <c r="F818" s="81"/>
      <c r="G818" s="81"/>
      <c r="H818" s="24"/>
      <c r="I818" s="2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  <c r="AC818" s="234"/>
    </row>
    <row r="819" ht="17.25" customHeight="1">
      <c r="A819" s="24"/>
      <c r="B819" s="24"/>
      <c r="C819" s="24"/>
      <c r="D819" s="81"/>
      <c r="E819" s="81"/>
      <c r="F819" s="81"/>
      <c r="G819" s="81"/>
      <c r="H819" s="24"/>
      <c r="I819" s="2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  <c r="AC819" s="234"/>
    </row>
    <row r="820" ht="17.25" customHeight="1">
      <c r="A820" s="24"/>
      <c r="B820" s="24"/>
      <c r="C820" s="24"/>
      <c r="D820" s="81"/>
      <c r="E820" s="81"/>
      <c r="F820" s="81"/>
      <c r="G820" s="81"/>
      <c r="H820" s="24"/>
      <c r="I820" s="2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  <c r="AC820" s="234"/>
    </row>
    <row r="821" ht="17.25" customHeight="1">
      <c r="A821" s="24"/>
      <c r="B821" s="24"/>
      <c r="C821" s="24"/>
      <c r="D821" s="81"/>
      <c r="E821" s="81"/>
      <c r="F821" s="81"/>
      <c r="G821" s="81"/>
      <c r="H821" s="24"/>
      <c r="I821" s="2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  <c r="AC821" s="234"/>
    </row>
    <row r="822" ht="17.25" customHeight="1">
      <c r="A822" s="24"/>
      <c r="B822" s="24"/>
      <c r="C822" s="24"/>
      <c r="D822" s="81"/>
      <c r="E822" s="81"/>
      <c r="F822" s="81"/>
      <c r="G822" s="81"/>
      <c r="H822" s="24"/>
      <c r="I822" s="2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  <c r="AC822" s="234"/>
    </row>
    <row r="823" ht="17.25" customHeight="1">
      <c r="A823" s="24"/>
      <c r="B823" s="24"/>
      <c r="C823" s="24"/>
      <c r="D823" s="81"/>
      <c r="E823" s="81"/>
      <c r="F823" s="81"/>
      <c r="G823" s="81"/>
      <c r="H823" s="24"/>
      <c r="I823" s="2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  <c r="AC823" s="234"/>
    </row>
    <row r="824" ht="17.25" customHeight="1">
      <c r="A824" s="24"/>
      <c r="B824" s="24"/>
      <c r="C824" s="24"/>
      <c r="D824" s="81"/>
      <c r="E824" s="81"/>
      <c r="F824" s="81"/>
      <c r="G824" s="81"/>
      <c r="H824" s="24"/>
      <c r="I824" s="2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  <c r="AC824" s="234"/>
    </row>
    <row r="825" ht="17.25" customHeight="1">
      <c r="A825" s="24"/>
      <c r="B825" s="24"/>
      <c r="C825" s="24"/>
      <c r="D825" s="81"/>
      <c r="E825" s="81"/>
      <c r="F825" s="81"/>
      <c r="G825" s="81"/>
      <c r="H825" s="24"/>
      <c r="I825" s="2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  <c r="AC825" s="234"/>
    </row>
    <row r="826" ht="17.25" customHeight="1">
      <c r="A826" s="24"/>
      <c r="B826" s="24"/>
      <c r="C826" s="24"/>
      <c r="D826" s="81"/>
      <c r="E826" s="81"/>
      <c r="F826" s="81"/>
      <c r="G826" s="81"/>
      <c r="H826" s="24"/>
      <c r="I826" s="2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  <c r="AC826" s="234"/>
    </row>
    <row r="827" ht="17.25" customHeight="1">
      <c r="A827" s="24"/>
      <c r="B827" s="24"/>
      <c r="C827" s="24"/>
      <c r="D827" s="81"/>
      <c r="E827" s="81"/>
      <c r="F827" s="81"/>
      <c r="G827" s="81"/>
      <c r="H827" s="24"/>
      <c r="I827" s="2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  <c r="AC827" s="234"/>
    </row>
    <row r="828" ht="17.25" customHeight="1">
      <c r="A828" s="24"/>
      <c r="B828" s="24"/>
      <c r="C828" s="24"/>
      <c r="D828" s="81"/>
      <c r="E828" s="81"/>
      <c r="F828" s="81"/>
      <c r="G828" s="81"/>
      <c r="H828" s="24"/>
      <c r="I828" s="2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  <c r="AC828" s="234"/>
    </row>
    <row r="829" ht="17.25" customHeight="1">
      <c r="A829" s="24"/>
      <c r="B829" s="24"/>
      <c r="C829" s="24"/>
      <c r="D829" s="81"/>
      <c r="E829" s="81"/>
      <c r="F829" s="81"/>
      <c r="G829" s="81"/>
      <c r="H829" s="24"/>
      <c r="I829" s="2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  <c r="AC829" s="234"/>
    </row>
    <row r="830" ht="17.25" customHeight="1">
      <c r="A830" s="24"/>
      <c r="B830" s="24"/>
      <c r="C830" s="24"/>
      <c r="D830" s="81"/>
      <c r="E830" s="81"/>
      <c r="F830" s="81"/>
      <c r="G830" s="81"/>
      <c r="H830" s="24"/>
      <c r="I830" s="2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  <c r="AC830" s="234"/>
    </row>
    <row r="831" ht="17.25" customHeight="1">
      <c r="A831" s="24"/>
      <c r="B831" s="24"/>
      <c r="C831" s="24"/>
      <c r="D831" s="81"/>
      <c r="E831" s="81"/>
      <c r="F831" s="81"/>
      <c r="G831" s="81"/>
      <c r="H831" s="24"/>
      <c r="I831" s="2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  <c r="AC831" s="234"/>
    </row>
    <row r="832" ht="17.25" customHeight="1">
      <c r="A832" s="24"/>
      <c r="B832" s="24"/>
      <c r="C832" s="24"/>
      <c r="D832" s="81"/>
      <c r="E832" s="81"/>
      <c r="F832" s="81"/>
      <c r="G832" s="81"/>
      <c r="H832" s="24"/>
      <c r="I832" s="2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  <c r="AC832" s="234"/>
    </row>
    <row r="833" ht="17.25" customHeight="1">
      <c r="A833" s="24"/>
      <c r="B833" s="24"/>
      <c r="C833" s="24"/>
      <c r="D833" s="81"/>
      <c r="E833" s="81"/>
      <c r="F833" s="81"/>
      <c r="G833" s="81"/>
      <c r="H833" s="24"/>
      <c r="I833" s="2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  <c r="AC833" s="234"/>
    </row>
    <row r="834" ht="17.25" customHeight="1">
      <c r="A834" s="24"/>
      <c r="B834" s="24"/>
      <c r="C834" s="24"/>
      <c r="D834" s="81"/>
      <c r="E834" s="81"/>
      <c r="F834" s="81"/>
      <c r="G834" s="81"/>
      <c r="H834" s="24"/>
      <c r="I834" s="2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  <c r="AC834" s="234"/>
    </row>
    <row r="835" ht="17.25" customHeight="1">
      <c r="A835" s="24"/>
      <c r="B835" s="24"/>
      <c r="C835" s="24"/>
      <c r="D835" s="81"/>
      <c r="E835" s="81"/>
      <c r="F835" s="81"/>
      <c r="G835" s="81"/>
      <c r="H835" s="24"/>
      <c r="I835" s="2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  <c r="AC835" s="234"/>
    </row>
    <row r="836" ht="17.25" customHeight="1">
      <c r="A836" s="24"/>
      <c r="B836" s="24"/>
      <c r="C836" s="24"/>
      <c r="D836" s="81"/>
      <c r="E836" s="81"/>
      <c r="F836" s="81"/>
      <c r="G836" s="81"/>
      <c r="H836" s="24"/>
      <c r="I836" s="2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  <c r="AC836" s="234"/>
    </row>
    <row r="837" ht="17.25" customHeight="1">
      <c r="A837" s="24"/>
      <c r="B837" s="24"/>
      <c r="C837" s="24"/>
      <c r="D837" s="81"/>
      <c r="E837" s="81"/>
      <c r="F837" s="81"/>
      <c r="G837" s="81"/>
      <c r="H837" s="24"/>
      <c r="I837" s="2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  <c r="AC837" s="234"/>
    </row>
    <row r="838" ht="17.25" customHeight="1">
      <c r="A838" s="24"/>
      <c r="B838" s="24"/>
      <c r="C838" s="24"/>
      <c r="D838" s="81"/>
      <c r="E838" s="81"/>
      <c r="F838" s="81"/>
      <c r="G838" s="81"/>
      <c r="H838" s="24"/>
      <c r="I838" s="2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  <c r="AC838" s="234"/>
    </row>
    <row r="839" ht="17.25" customHeight="1">
      <c r="A839" s="24"/>
      <c r="B839" s="24"/>
      <c r="C839" s="24"/>
      <c r="D839" s="81"/>
      <c r="E839" s="81"/>
      <c r="F839" s="81"/>
      <c r="G839" s="81"/>
      <c r="H839" s="24"/>
      <c r="I839" s="2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  <c r="AC839" s="234"/>
    </row>
    <row r="840" ht="17.25" customHeight="1">
      <c r="A840" s="24"/>
      <c r="B840" s="24"/>
      <c r="C840" s="24"/>
      <c r="D840" s="81"/>
      <c r="E840" s="81"/>
      <c r="F840" s="81"/>
      <c r="G840" s="81"/>
      <c r="H840" s="24"/>
      <c r="I840" s="2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  <c r="AC840" s="234"/>
    </row>
    <row r="841" ht="17.25" customHeight="1">
      <c r="A841" s="24"/>
      <c r="B841" s="24"/>
      <c r="C841" s="24"/>
      <c r="D841" s="81"/>
      <c r="E841" s="81"/>
      <c r="F841" s="81"/>
      <c r="G841" s="81"/>
      <c r="H841" s="24"/>
      <c r="I841" s="2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  <c r="AC841" s="234"/>
    </row>
    <row r="842" ht="17.25" customHeight="1">
      <c r="A842" s="24"/>
      <c r="B842" s="24"/>
      <c r="C842" s="24"/>
      <c r="D842" s="81"/>
      <c r="E842" s="81"/>
      <c r="F842" s="81"/>
      <c r="G842" s="81"/>
      <c r="H842" s="24"/>
      <c r="I842" s="2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  <c r="AC842" s="234"/>
    </row>
    <row r="843" ht="17.25" customHeight="1">
      <c r="A843" s="24"/>
      <c r="B843" s="24"/>
      <c r="C843" s="24"/>
      <c r="D843" s="81"/>
      <c r="E843" s="81"/>
      <c r="F843" s="81"/>
      <c r="G843" s="81"/>
      <c r="H843" s="24"/>
      <c r="I843" s="2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  <c r="AC843" s="234"/>
    </row>
    <row r="844" ht="17.25" customHeight="1">
      <c r="A844" s="24"/>
      <c r="B844" s="24"/>
      <c r="C844" s="24"/>
      <c r="D844" s="81"/>
      <c r="E844" s="81"/>
      <c r="F844" s="81"/>
      <c r="G844" s="81"/>
      <c r="H844" s="24"/>
      <c r="I844" s="2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  <c r="AC844" s="234"/>
    </row>
    <row r="845" ht="17.25" customHeight="1">
      <c r="A845" s="24"/>
      <c r="B845" s="24"/>
      <c r="C845" s="24"/>
      <c r="D845" s="81"/>
      <c r="E845" s="81"/>
      <c r="F845" s="81"/>
      <c r="G845" s="81"/>
      <c r="H845" s="24"/>
      <c r="I845" s="2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  <c r="AC845" s="234"/>
    </row>
    <row r="846" ht="17.25" customHeight="1">
      <c r="A846" s="24"/>
      <c r="B846" s="24"/>
      <c r="C846" s="24"/>
      <c r="D846" s="81"/>
      <c r="E846" s="81"/>
      <c r="F846" s="81"/>
      <c r="G846" s="81"/>
      <c r="H846" s="24"/>
      <c r="I846" s="2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  <c r="AC846" s="234"/>
    </row>
    <row r="847" ht="17.25" customHeight="1">
      <c r="A847" s="24"/>
      <c r="B847" s="24"/>
      <c r="C847" s="24"/>
      <c r="D847" s="81"/>
      <c r="E847" s="81"/>
      <c r="F847" s="81"/>
      <c r="G847" s="81"/>
      <c r="H847" s="24"/>
      <c r="I847" s="2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  <c r="AC847" s="234"/>
    </row>
    <row r="848" ht="17.25" customHeight="1">
      <c r="A848" s="24"/>
      <c r="B848" s="24"/>
      <c r="C848" s="24"/>
      <c r="D848" s="81"/>
      <c r="E848" s="81"/>
      <c r="F848" s="81"/>
      <c r="G848" s="81"/>
      <c r="H848" s="24"/>
      <c r="I848" s="2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  <c r="AC848" s="234"/>
    </row>
    <row r="849" ht="17.25" customHeight="1">
      <c r="A849" s="24"/>
      <c r="B849" s="24"/>
      <c r="C849" s="24"/>
      <c r="D849" s="81"/>
      <c r="E849" s="81"/>
      <c r="F849" s="81"/>
      <c r="G849" s="81"/>
      <c r="H849" s="24"/>
      <c r="I849" s="2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  <c r="AC849" s="234"/>
    </row>
    <row r="850" ht="17.25" customHeight="1">
      <c r="A850" s="24"/>
      <c r="B850" s="24"/>
      <c r="C850" s="24"/>
      <c r="D850" s="81"/>
      <c r="E850" s="81"/>
      <c r="F850" s="81"/>
      <c r="G850" s="81"/>
      <c r="H850" s="24"/>
      <c r="I850" s="2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  <c r="AC850" s="234"/>
    </row>
    <row r="851" ht="17.25" customHeight="1">
      <c r="A851" s="24"/>
      <c r="B851" s="24"/>
      <c r="C851" s="24"/>
      <c r="D851" s="81"/>
      <c r="E851" s="81"/>
      <c r="F851" s="81"/>
      <c r="G851" s="81"/>
      <c r="H851" s="24"/>
      <c r="I851" s="2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  <c r="AC851" s="234"/>
    </row>
    <row r="852" ht="17.25" customHeight="1">
      <c r="A852" s="24"/>
      <c r="B852" s="24"/>
      <c r="C852" s="24"/>
      <c r="D852" s="81"/>
      <c r="E852" s="81"/>
      <c r="F852" s="81"/>
      <c r="G852" s="81"/>
      <c r="H852" s="24"/>
      <c r="I852" s="2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  <c r="AC852" s="234"/>
    </row>
    <row r="853" ht="17.25" customHeight="1">
      <c r="A853" s="24"/>
      <c r="B853" s="24"/>
      <c r="C853" s="24"/>
      <c r="D853" s="81"/>
      <c r="E853" s="81"/>
      <c r="F853" s="81"/>
      <c r="G853" s="81"/>
      <c r="H853" s="24"/>
      <c r="I853" s="2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  <c r="AC853" s="234"/>
    </row>
    <row r="854" ht="17.25" customHeight="1">
      <c r="A854" s="24"/>
      <c r="B854" s="24"/>
      <c r="C854" s="24"/>
      <c r="D854" s="81"/>
      <c r="E854" s="81"/>
      <c r="F854" s="81"/>
      <c r="G854" s="81"/>
      <c r="H854" s="24"/>
      <c r="I854" s="2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  <c r="AC854" s="234"/>
    </row>
    <row r="855" ht="17.25" customHeight="1">
      <c r="A855" s="24"/>
      <c r="B855" s="24"/>
      <c r="C855" s="24"/>
      <c r="D855" s="81"/>
      <c r="E855" s="81"/>
      <c r="F855" s="81"/>
      <c r="G855" s="81"/>
      <c r="H855" s="24"/>
      <c r="I855" s="2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  <c r="AC855" s="234"/>
    </row>
    <row r="856" ht="17.25" customHeight="1">
      <c r="A856" s="24"/>
      <c r="B856" s="24"/>
      <c r="C856" s="24"/>
      <c r="D856" s="81"/>
      <c r="E856" s="81"/>
      <c r="F856" s="81"/>
      <c r="G856" s="81"/>
      <c r="H856" s="24"/>
      <c r="I856" s="2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  <c r="AC856" s="234"/>
    </row>
    <row r="857" ht="17.25" customHeight="1">
      <c r="A857" s="24"/>
      <c r="B857" s="24"/>
      <c r="C857" s="24"/>
      <c r="D857" s="81"/>
      <c r="E857" s="81"/>
      <c r="F857" s="81"/>
      <c r="G857" s="81"/>
      <c r="H857" s="24"/>
      <c r="I857" s="2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  <c r="AC857" s="234"/>
    </row>
    <row r="858" ht="17.25" customHeight="1">
      <c r="A858" s="24"/>
      <c r="B858" s="24"/>
      <c r="C858" s="24"/>
      <c r="D858" s="81"/>
      <c r="E858" s="81"/>
      <c r="F858" s="81"/>
      <c r="G858" s="81"/>
      <c r="H858" s="24"/>
      <c r="I858" s="2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  <c r="AC858" s="234"/>
    </row>
    <row r="859" ht="17.25" customHeight="1">
      <c r="A859" s="24"/>
      <c r="B859" s="24"/>
      <c r="C859" s="24"/>
      <c r="D859" s="81"/>
      <c r="E859" s="81"/>
      <c r="F859" s="81"/>
      <c r="G859" s="81"/>
      <c r="H859" s="24"/>
      <c r="I859" s="2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  <c r="AC859" s="234"/>
    </row>
    <row r="860" ht="17.25" customHeight="1">
      <c r="A860" s="24"/>
      <c r="B860" s="24"/>
      <c r="C860" s="24"/>
      <c r="D860" s="81"/>
      <c r="E860" s="81"/>
      <c r="F860" s="81"/>
      <c r="G860" s="81"/>
      <c r="H860" s="24"/>
      <c r="I860" s="2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</row>
    <row r="861" ht="17.25" customHeight="1">
      <c r="A861" s="24"/>
      <c r="B861" s="24"/>
      <c r="C861" s="24"/>
      <c r="D861" s="81"/>
      <c r="E861" s="81"/>
      <c r="F861" s="81"/>
      <c r="G861" s="81"/>
      <c r="H861" s="24"/>
      <c r="I861" s="2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  <c r="AC861" s="234"/>
    </row>
    <row r="862" ht="17.25" customHeight="1">
      <c r="A862" s="24"/>
      <c r="B862" s="24"/>
      <c r="C862" s="24"/>
      <c r="D862" s="81"/>
      <c r="E862" s="81"/>
      <c r="F862" s="81"/>
      <c r="G862" s="81"/>
      <c r="H862" s="24"/>
      <c r="I862" s="2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  <c r="AC862" s="234"/>
    </row>
    <row r="863" ht="17.25" customHeight="1">
      <c r="A863" s="24"/>
      <c r="B863" s="24"/>
      <c r="C863" s="24"/>
      <c r="D863" s="81"/>
      <c r="E863" s="81"/>
      <c r="F863" s="81"/>
      <c r="G863" s="81"/>
      <c r="H863" s="24"/>
      <c r="I863" s="2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  <c r="AC863" s="234"/>
    </row>
    <row r="864" ht="17.25" customHeight="1">
      <c r="A864" s="24"/>
      <c r="B864" s="24"/>
      <c r="C864" s="24"/>
      <c r="D864" s="81"/>
      <c r="E864" s="81"/>
      <c r="F864" s="81"/>
      <c r="G864" s="81"/>
      <c r="H864" s="24"/>
      <c r="I864" s="2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  <c r="AC864" s="234"/>
    </row>
    <row r="865" ht="17.25" customHeight="1">
      <c r="A865" s="24"/>
      <c r="B865" s="24"/>
      <c r="C865" s="24"/>
      <c r="D865" s="81"/>
      <c r="E865" s="81"/>
      <c r="F865" s="81"/>
      <c r="G865" s="81"/>
      <c r="H865" s="24"/>
      <c r="I865" s="2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  <c r="AC865" s="234"/>
    </row>
    <row r="866" ht="17.25" customHeight="1">
      <c r="A866" s="24"/>
      <c r="B866" s="24"/>
      <c r="C866" s="24"/>
      <c r="D866" s="81"/>
      <c r="E866" s="81"/>
      <c r="F866" s="81"/>
      <c r="G866" s="81"/>
      <c r="H866" s="24"/>
      <c r="I866" s="2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  <c r="AC866" s="234"/>
    </row>
    <row r="867" ht="17.25" customHeight="1">
      <c r="A867" s="24"/>
      <c r="B867" s="24"/>
      <c r="C867" s="24"/>
      <c r="D867" s="81"/>
      <c r="E867" s="81"/>
      <c r="F867" s="81"/>
      <c r="G867" s="81"/>
      <c r="H867" s="24"/>
      <c r="I867" s="2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  <c r="AC867" s="234"/>
    </row>
    <row r="868" ht="17.25" customHeight="1">
      <c r="A868" s="24"/>
      <c r="B868" s="24"/>
      <c r="C868" s="24"/>
      <c r="D868" s="81"/>
      <c r="E868" s="81"/>
      <c r="F868" s="81"/>
      <c r="G868" s="81"/>
      <c r="H868" s="24"/>
      <c r="I868" s="2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  <c r="AC868" s="234"/>
    </row>
    <row r="869" ht="17.25" customHeight="1">
      <c r="A869" s="24"/>
      <c r="B869" s="24"/>
      <c r="C869" s="24"/>
      <c r="D869" s="81"/>
      <c r="E869" s="81"/>
      <c r="F869" s="81"/>
      <c r="G869" s="81"/>
      <c r="H869" s="24"/>
      <c r="I869" s="2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  <c r="AC869" s="234"/>
    </row>
    <row r="870" ht="17.25" customHeight="1">
      <c r="A870" s="24"/>
      <c r="B870" s="24"/>
      <c r="C870" s="24"/>
      <c r="D870" s="81"/>
      <c r="E870" s="81"/>
      <c r="F870" s="81"/>
      <c r="G870" s="81"/>
      <c r="H870" s="24"/>
      <c r="I870" s="2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  <c r="AC870" s="234"/>
    </row>
    <row r="871" ht="17.25" customHeight="1">
      <c r="A871" s="24"/>
      <c r="B871" s="24"/>
      <c r="C871" s="24"/>
      <c r="D871" s="81"/>
      <c r="E871" s="81"/>
      <c r="F871" s="81"/>
      <c r="G871" s="81"/>
      <c r="H871" s="24"/>
      <c r="I871" s="2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  <c r="AC871" s="234"/>
    </row>
    <row r="872" ht="17.25" customHeight="1">
      <c r="A872" s="24"/>
      <c r="B872" s="24"/>
      <c r="C872" s="24"/>
      <c r="D872" s="81"/>
      <c r="E872" s="81"/>
      <c r="F872" s="81"/>
      <c r="G872" s="81"/>
      <c r="H872" s="24"/>
      <c r="I872" s="2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  <c r="AC872" s="234"/>
    </row>
    <row r="873" ht="17.25" customHeight="1">
      <c r="A873" s="24"/>
      <c r="B873" s="24"/>
      <c r="C873" s="24"/>
      <c r="D873" s="81"/>
      <c r="E873" s="81"/>
      <c r="F873" s="81"/>
      <c r="G873" s="81"/>
      <c r="H873" s="24"/>
      <c r="I873" s="2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  <c r="AC873" s="234"/>
    </row>
    <row r="874" ht="17.25" customHeight="1">
      <c r="A874" s="24"/>
      <c r="B874" s="24"/>
      <c r="C874" s="24"/>
      <c r="D874" s="81"/>
      <c r="E874" s="81"/>
      <c r="F874" s="81"/>
      <c r="G874" s="81"/>
      <c r="H874" s="24"/>
      <c r="I874" s="2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  <c r="AC874" s="234"/>
    </row>
    <row r="875" ht="17.25" customHeight="1">
      <c r="A875" s="24"/>
      <c r="B875" s="24"/>
      <c r="C875" s="24"/>
      <c r="D875" s="81"/>
      <c r="E875" s="81"/>
      <c r="F875" s="81"/>
      <c r="G875" s="81"/>
      <c r="H875" s="24"/>
      <c r="I875" s="2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  <c r="AC875" s="234"/>
    </row>
    <row r="876" ht="17.25" customHeight="1">
      <c r="A876" s="24"/>
      <c r="B876" s="24"/>
      <c r="C876" s="24"/>
      <c r="D876" s="81"/>
      <c r="E876" s="81"/>
      <c r="F876" s="81"/>
      <c r="G876" s="81"/>
      <c r="H876" s="24"/>
      <c r="I876" s="2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  <c r="AC876" s="234"/>
    </row>
    <row r="877" ht="17.25" customHeight="1">
      <c r="A877" s="24"/>
      <c r="B877" s="24"/>
      <c r="C877" s="24"/>
      <c r="D877" s="81"/>
      <c r="E877" s="81"/>
      <c r="F877" s="81"/>
      <c r="G877" s="81"/>
      <c r="H877" s="24"/>
      <c r="I877" s="2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  <c r="AC877" s="234"/>
    </row>
    <row r="878" ht="17.25" customHeight="1">
      <c r="A878" s="24"/>
      <c r="B878" s="24"/>
      <c r="C878" s="24"/>
      <c r="D878" s="81"/>
      <c r="E878" s="81"/>
      <c r="F878" s="81"/>
      <c r="G878" s="81"/>
      <c r="H878" s="24"/>
      <c r="I878" s="2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  <c r="AC878" s="234"/>
    </row>
    <row r="879" ht="17.25" customHeight="1">
      <c r="A879" s="24"/>
      <c r="B879" s="24"/>
      <c r="C879" s="24"/>
      <c r="D879" s="81"/>
      <c r="E879" s="81"/>
      <c r="F879" s="81"/>
      <c r="G879" s="81"/>
      <c r="H879" s="24"/>
      <c r="I879" s="2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  <c r="AC879" s="234"/>
    </row>
    <row r="880" ht="17.25" customHeight="1">
      <c r="A880" s="24"/>
      <c r="B880" s="24"/>
      <c r="C880" s="24"/>
      <c r="D880" s="81"/>
      <c r="E880" s="81"/>
      <c r="F880" s="81"/>
      <c r="G880" s="81"/>
      <c r="H880" s="24"/>
      <c r="I880" s="2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  <c r="AC880" s="234"/>
    </row>
    <row r="881" ht="17.25" customHeight="1">
      <c r="A881" s="24"/>
      <c r="B881" s="24"/>
      <c r="C881" s="24"/>
      <c r="D881" s="81"/>
      <c r="E881" s="81"/>
      <c r="F881" s="81"/>
      <c r="G881" s="81"/>
      <c r="H881" s="24"/>
      <c r="I881" s="2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  <c r="AC881" s="234"/>
    </row>
    <row r="882" ht="17.25" customHeight="1">
      <c r="A882" s="24"/>
      <c r="B882" s="24"/>
      <c r="C882" s="24"/>
      <c r="D882" s="81"/>
      <c r="E882" s="81"/>
      <c r="F882" s="81"/>
      <c r="G882" s="81"/>
      <c r="H882" s="24"/>
      <c r="I882" s="2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  <c r="AC882" s="234"/>
    </row>
    <row r="883" ht="17.25" customHeight="1">
      <c r="A883" s="24"/>
      <c r="B883" s="24"/>
      <c r="C883" s="24"/>
      <c r="D883" s="81"/>
      <c r="E883" s="81"/>
      <c r="F883" s="81"/>
      <c r="G883" s="81"/>
      <c r="H883" s="24"/>
      <c r="I883" s="2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  <c r="AC883" s="234"/>
    </row>
    <row r="884" ht="17.25" customHeight="1">
      <c r="A884" s="24"/>
      <c r="B884" s="24"/>
      <c r="C884" s="24"/>
      <c r="D884" s="81"/>
      <c r="E884" s="81"/>
      <c r="F884" s="81"/>
      <c r="G884" s="81"/>
      <c r="H884" s="24"/>
      <c r="I884" s="2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  <c r="AC884" s="234"/>
    </row>
    <row r="885" ht="17.25" customHeight="1">
      <c r="A885" s="24"/>
      <c r="B885" s="24"/>
      <c r="C885" s="24"/>
      <c r="D885" s="81"/>
      <c r="E885" s="81"/>
      <c r="F885" s="81"/>
      <c r="G885" s="81"/>
      <c r="H885" s="24"/>
      <c r="I885" s="2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  <c r="AC885" s="234"/>
    </row>
    <row r="886" ht="17.25" customHeight="1">
      <c r="A886" s="24"/>
      <c r="B886" s="24"/>
      <c r="C886" s="24"/>
      <c r="D886" s="81"/>
      <c r="E886" s="81"/>
      <c r="F886" s="81"/>
      <c r="G886" s="81"/>
      <c r="H886" s="24"/>
      <c r="I886" s="2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  <c r="AC886" s="234"/>
    </row>
    <row r="887" ht="17.25" customHeight="1">
      <c r="A887" s="24"/>
      <c r="B887" s="24"/>
      <c r="C887" s="24"/>
      <c r="D887" s="81"/>
      <c r="E887" s="81"/>
      <c r="F887" s="81"/>
      <c r="G887" s="81"/>
      <c r="H887" s="24"/>
      <c r="I887" s="2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  <c r="AC887" s="234"/>
    </row>
    <row r="888" ht="17.25" customHeight="1">
      <c r="A888" s="24"/>
      <c r="B888" s="24"/>
      <c r="C888" s="24"/>
      <c r="D888" s="81"/>
      <c r="E888" s="81"/>
      <c r="F888" s="81"/>
      <c r="G888" s="81"/>
      <c r="H888" s="24"/>
      <c r="I888" s="2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  <c r="AC888" s="234"/>
    </row>
    <row r="889" ht="17.25" customHeight="1">
      <c r="A889" s="24"/>
      <c r="B889" s="24"/>
      <c r="C889" s="24"/>
      <c r="D889" s="81"/>
      <c r="E889" s="81"/>
      <c r="F889" s="81"/>
      <c r="G889" s="81"/>
      <c r="H889" s="24"/>
      <c r="I889" s="2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  <c r="AC889" s="234"/>
    </row>
    <row r="890" ht="17.25" customHeight="1">
      <c r="A890" s="24"/>
      <c r="B890" s="24"/>
      <c r="C890" s="24"/>
      <c r="D890" s="81"/>
      <c r="E890" s="81"/>
      <c r="F890" s="81"/>
      <c r="G890" s="81"/>
      <c r="H890" s="24"/>
      <c r="I890" s="2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  <c r="AC890" s="234"/>
    </row>
    <row r="891" ht="17.25" customHeight="1">
      <c r="A891" s="24"/>
      <c r="B891" s="24"/>
      <c r="C891" s="24"/>
      <c r="D891" s="81"/>
      <c r="E891" s="81"/>
      <c r="F891" s="81"/>
      <c r="G891" s="81"/>
      <c r="H891" s="24"/>
      <c r="I891" s="2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  <c r="AC891" s="234"/>
    </row>
    <row r="892" ht="17.25" customHeight="1">
      <c r="A892" s="24"/>
      <c r="B892" s="24"/>
      <c r="C892" s="24"/>
      <c r="D892" s="81"/>
      <c r="E892" s="81"/>
      <c r="F892" s="81"/>
      <c r="G892" s="81"/>
      <c r="H892" s="24"/>
      <c r="I892" s="2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  <c r="AC892" s="234"/>
    </row>
    <row r="893" ht="17.25" customHeight="1">
      <c r="A893" s="24"/>
      <c r="B893" s="24"/>
      <c r="C893" s="24"/>
      <c r="D893" s="81"/>
      <c r="E893" s="81"/>
      <c r="F893" s="81"/>
      <c r="G893" s="81"/>
      <c r="H893" s="24"/>
      <c r="I893" s="2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  <c r="AC893" s="234"/>
    </row>
    <row r="894" ht="17.25" customHeight="1">
      <c r="A894" s="24"/>
      <c r="B894" s="24"/>
      <c r="C894" s="24"/>
      <c r="D894" s="81"/>
      <c r="E894" s="81"/>
      <c r="F894" s="81"/>
      <c r="G894" s="81"/>
      <c r="H894" s="24"/>
      <c r="I894" s="2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  <c r="AC894" s="234"/>
    </row>
    <row r="895" ht="17.25" customHeight="1">
      <c r="A895" s="24"/>
      <c r="B895" s="24"/>
      <c r="C895" s="24"/>
      <c r="D895" s="81"/>
      <c r="E895" s="81"/>
      <c r="F895" s="81"/>
      <c r="G895" s="81"/>
      <c r="H895" s="24"/>
      <c r="I895" s="2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  <c r="AC895" s="234"/>
    </row>
    <row r="896" ht="17.25" customHeight="1">
      <c r="A896" s="24"/>
      <c r="B896" s="24"/>
      <c r="C896" s="24"/>
      <c r="D896" s="81"/>
      <c r="E896" s="81"/>
      <c r="F896" s="81"/>
      <c r="G896" s="81"/>
      <c r="H896" s="24"/>
      <c r="I896" s="2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  <c r="AC896" s="234"/>
    </row>
    <row r="897" ht="17.25" customHeight="1">
      <c r="A897" s="24"/>
      <c r="B897" s="24"/>
      <c r="C897" s="24"/>
      <c r="D897" s="81"/>
      <c r="E897" s="81"/>
      <c r="F897" s="81"/>
      <c r="G897" s="81"/>
      <c r="H897" s="24"/>
      <c r="I897" s="2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  <c r="AC897" s="234"/>
    </row>
    <row r="898" ht="17.25" customHeight="1">
      <c r="A898" s="24"/>
      <c r="B898" s="24"/>
      <c r="C898" s="24"/>
      <c r="D898" s="81"/>
      <c r="E898" s="81"/>
      <c r="F898" s="81"/>
      <c r="G898" s="81"/>
      <c r="H898" s="24"/>
      <c r="I898" s="2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  <c r="AC898" s="234"/>
    </row>
    <row r="899" ht="17.25" customHeight="1">
      <c r="A899" s="24"/>
      <c r="B899" s="24"/>
      <c r="C899" s="24"/>
      <c r="D899" s="81"/>
      <c r="E899" s="81"/>
      <c r="F899" s="81"/>
      <c r="G899" s="81"/>
      <c r="H899" s="24"/>
      <c r="I899" s="2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  <c r="AC899" s="234"/>
    </row>
    <row r="900" ht="17.25" customHeight="1">
      <c r="A900" s="24"/>
      <c r="B900" s="24"/>
      <c r="C900" s="24"/>
      <c r="D900" s="81"/>
      <c r="E900" s="81"/>
      <c r="F900" s="81"/>
      <c r="G900" s="81"/>
      <c r="H900" s="24"/>
      <c r="I900" s="2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  <c r="AC900" s="234"/>
    </row>
    <row r="901" ht="17.25" customHeight="1">
      <c r="A901" s="24"/>
      <c r="B901" s="24"/>
      <c r="C901" s="24"/>
      <c r="D901" s="81"/>
      <c r="E901" s="81"/>
      <c r="F901" s="81"/>
      <c r="G901" s="81"/>
      <c r="H901" s="24"/>
      <c r="I901" s="2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  <c r="AC901" s="234"/>
    </row>
    <row r="902" ht="17.25" customHeight="1">
      <c r="A902" s="24"/>
      <c r="B902" s="24"/>
      <c r="C902" s="24"/>
      <c r="D902" s="81"/>
      <c r="E902" s="81"/>
      <c r="F902" s="81"/>
      <c r="G902" s="81"/>
      <c r="H902" s="24"/>
      <c r="I902" s="2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  <c r="AC902" s="234"/>
    </row>
    <row r="903" ht="17.25" customHeight="1">
      <c r="A903" s="24"/>
      <c r="B903" s="24"/>
      <c r="C903" s="24"/>
      <c r="D903" s="81"/>
      <c r="E903" s="81"/>
      <c r="F903" s="81"/>
      <c r="G903" s="81"/>
      <c r="H903" s="24"/>
      <c r="I903" s="2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  <c r="AC903" s="234"/>
    </row>
    <row r="904" ht="17.25" customHeight="1">
      <c r="A904" s="24"/>
      <c r="B904" s="24"/>
      <c r="C904" s="24"/>
      <c r="D904" s="81"/>
      <c r="E904" s="81"/>
      <c r="F904" s="81"/>
      <c r="G904" s="81"/>
      <c r="H904" s="24"/>
      <c r="I904" s="2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  <c r="AC904" s="234"/>
    </row>
    <row r="905" ht="17.25" customHeight="1">
      <c r="A905" s="24"/>
      <c r="B905" s="24"/>
      <c r="C905" s="24"/>
      <c r="D905" s="81"/>
      <c r="E905" s="81"/>
      <c r="F905" s="81"/>
      <c r="G905" s="81"/>
      <c r="H905" s="24"/>
      <c r="I905" s="2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  <c r="AC905" s="234"/>
    </row>
    <row r="906" ht="17.25" customHeight="1">
      <c r="A906" s="24"/>
      <c r="B906" s="24"/>
      <c r="C906" s="24"/>
      <c r="D906" s="81"/>
      <c r="E906" s="81"/>
      <c r="F906" s="81"/>
      <c r="G906" s="81"/>
      <c r="H906" s="24"/>
      <c r="I906" s="2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  <c r="AC906" s="234"/>
    </row>
    <row r="907" ht="17.25" customHeight="1">
      <c r="A907" s="24"/>
      <c r="B907" s="24"/>
      <c r="C907" s="24"/>
      <c r="D907" s="81"/>
      <c r="E907" s="81"/>
      <c r="F907" s="81"/>
      <c r="G907" s="81"/>
      <c r="H907" s="24"/>
      <c r="I907" s="2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  <c r="AC907" s="234"/>
    </row>
    <row r="908" ht="17.25" customHeight="1">
      <c r="A908" s="24"/>
      <c r="B908" s="24"/>
      <c r="C908" s="24"/>
      <c r="D908" s="81"/>
      <c r="E908" s="81"/>
      <c r="F908" s="81"/>
      <c r="G908" s="81"/>
      <c r="H908" s="24"/>
      <c r="I908" s="2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  <c r="AC908" s="234"/>
    </row>
    <row r="909" ht="17.25" customHeight="1">
      <c r="A909" s="24"/>
      <c r="B909" s="24"/>
      <c r="C909" s="24"/>
      <c r="D909" s="81"/>
      <c r="E909" s="81"/>
      <c r="F909" s="81"/>
      <c r="G909" s="81"/>
      <c r="H909" s="24"/>
      <c r="I909" s="2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  <c r="AC909" s="234"/>
    </row>
    <row r="910" ht="17.25" customHeight="1">
      <c r="A910" s="24"/>
      <c r="B910" s="24"/>
      <c r="C910" s="24"/>
      <c r="D910" s="81"/>
      <c r="E910" s="81"/>
      <c r="F910" s="81"/>
      <c r="G910" s="81"/>
      <c r="H910" s="24"/>
      <c r="I910" s="2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  <c r="AC910" s="234"/>
    </row>
    <row r="911" ht="17.25" customHeight="1">
      <c r="A911" s="24"/>
      <c r="B911" s="24"/>
      <c r="C911" s="24"/>
      <c r="D911" s="81"/>
      <c r="E911" s="81"/>
      <c r="F911" s="81"/>
      <c r="G911" s="81"/>
      <c r="H911" s="24"/>
      <c r="I911" s="2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  <c r="AC911" s="234"/>
    </row>
    <row r="912" ht="17.25" customHeight="1">
      <c r="A912" s="24"/>
      <c r="B912" s="24"/>
      <c r="C912" s="24"/>
      <c r="D912" s="81"/>
      <c r="E912" s="81"/>
      <c r="F912" s="81"/>
      <c r="G912" s="81"/>
      <c r="H912" s="24"/>
      <c r="I912" s="2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  <c r="AC912" s="234"/>
    </row>
    <row r="913" ht="17.25" customHeight="1">
      <c r="A913" s="24"/>
      <c r="B913" s="24"/>
      <c r="C913" s="24"/>
      <c r="D913" s="81"/>
      <c r="E913" s="81"/>
      <c r="F913" s="81"/>
      <c r="G913" s="81"/>
      <c r="H913" s="24"/>
      <c r="I913" s="2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</row>
    <row r="914" ht="17.25" customHeight="1">
      <c r="A914" s="24"/>
      <c r="B914" s="24"/>
      <c r="C914" s="24"/>
      <c r="D914" s="81"/>
      <c r="E914" s="81"/>
      <c r="F914" s="81"/>
      <c r="G914" s="81"/>
      <c r="H914" s="24"/>
      <c r="I914" s="2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  <c r="AC914" s="234"/>
    </row>
    <row r="915" ht="17.25" customHeight="1">
      <c r="A915" s="24"/>
      <c r="B915" s="24"/>
      <c r="C915" s="24"/>
      <c r="D915" s="81"/>
      <c r="E915" s="81"/>
      <c r="F915" s="81"/>
      <c r="G915" s="81"/>
      <c r="H915" s="24"/>
      <c r="I915" s="2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  <c r="AC915" s="234"/>
    </row>
    <row r="916" ht="17.25" customHeight="1">
      <c r="A916" s="24"/>
      <c r="B916" s="24"/>
      <c r="C916" s="24"/>
      <c r="D916" s="81"/>
      <c r="E916" s="81"/>
      <c r="F916" s="81"/>
      <c r="G916" s="81"/>
      <c r="H916" s="24"/>
      <c r="I916" s="2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  <c r="AC916" s="234"/>
    </row>
    <row r="917" ht="17.25" customHeight="1">
      <c r="A917" s="24"/>
      <c r="B917" s="24"/>
      <c r="C917" s="24"/>
      <c r="D917" s="81"/>
      <c r="E917" s="81"/>
      <c r="F917" s="81"/>
      <c r="G917" s="81"/>
      <c r="H917" s="24"/>
      <c r="I917" s="2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  <c r="AC917" s="234"/>
    </row>
    <row r="918" ht="17.25" customHeight="1">
      <c r="A918" s="24"/>
      <c r="B918" s="24"/>
      <c r="C918" s="24"/>
      <c r="D918" s="81"/>
      <c r="E918" s="81"/>
      <c r="F918" s="81"/>
      <c r="G918" s="81"/>
      <c r="H918" s="24"/>
      <c r="I918" s="2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  <c r="AC918" s="234"/>
    </row>
    <row r="919" ht="17.25" customHeight="1">
      <c r="A919" s="24"/>
      <c r="B919" s="24"/>
      <c r="C919" s="24"/>
      <c r="D919" s="81"/>
      <c r="E919" s="81"/>
      <c r="F919" s="81"/>
      <c r="G919" s="81"/>
      <c r="H919" s="24"/>
      <c r="I919" s="2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  <c r="AC919" s="234"/>
    </row>
    <row r="920" ht="17.25" customHeight="1">
      <c r="A920" s="24"/>
      <c r="B920" s="24"/>
      <c r="C920" s="24"/>
      <c r="D920" s="81"/>
      <c r="E920" s="81"/>
      <c r="F920" s="81"/>
      <c r="G920" s="81"/>
      <c r="H920" s="24"/>
      <c r="I920" s="2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  <c r="AC920" s="234"/>
    </row>
    <row r="921" ht="17.25" customHeight="1">
      <c r="A921" s="24"/>
      <c r="B921" s="24"/>
      <c r="C921" s="24"/>
      <c r="D921" s="81"/>
      <c r="E921" s="81"/>
      <c r="F921" s="81"/>
      <c r="G921" s="81"/>
      <c r="H921" s="24"/>
      <c r="I921" s="2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  <c r="AC921" s="234"/>
    </row>
    <row r="922" ht="17.25" customHeight="1">
      <c r="A922" s="24"/>
      <c r="B922" s="24"/>
      <c r="C922" s="24"/>
      <c r="D922" s="81"/>
      <c r="E922" s="81"/>
      <c r="F922" s="81"/>
      <c r="G922" s="81"/>
      <c r="H922" s="24"/>
      <c r="I922" s="2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  <c r="AC922" s="234"/>
    </row>
    <row r="923" ht="17.25" customHeight="1">
      <c r="A923" s="24"/>
      <c r="B923" s="24"/>
      <c r="C923" s="24"/>
      <c r="D923" s="81"/>
      <c r="E923" s="81"/>
      <c r="F923" s="81"/>
      <c r="G923" s="81"/>
      <c r="H923" s="24"/>
      <c r="I923" s="2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  <c r="AC923" s="234"/>
    </row>
    <row r="924" ht="17.25" customHeight="1">
      <c r="A924" s="24"/>
      <c r="B924" s="24"/>
      <c r="C924" s="24"/>
      <c r="D924" s="81"/>
      <c r="E924" s="81"/>
      <c r="F924" s="81"/>
      <c r="G924" s="81"/>
      <c r="H924" s="24"/>
      <c r="I924" s="2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  <c r="AC924" s="234"/>
    </row>
    <row r="925" ht="17.25" customHeight="1">
      <c r="A925" s="24"/>
      <c r="B925" s="24"/>
      <c r="C925" s="24"/>
      <c r="D925" s="81"/>
      <c r="E925" s="81"/>
      <c r="F925" s="81"/>
      <c r="G925" s="81"/>
      <c r="H925" s="24"/>
      <c r="I925" s="2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  <c r="AC925" s="234"/>
    </row>
    <row r="926" ht="17.25" customHeight="1">
      <c r="A926" s="24"/>
      <c r="B926" s="24"/>
      <c r="C926" s="24"/>
      <c r="D926" s="81"/>
      <c r="E926" s="81"/>
      <c r="F926" s="81"/>
      <c r="G926" s="81"/>
      <c r="H926" s="24"/>
      <c r="I926" s="2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  <c r="AC926" s="234"/>
    </row>
    <row r="927" ht="17.25" customHeight="1">
      <c r="A927" s="24"/>
      <c r="B927" s="24"/>
      <c r="C927" s="24"/>
      <c r="D927" s="81"/>
      <c r="E927" s="81"/>
      <c r="F927" s="81"/>
      <c r="G927" s="81"/>
      <c r="H927" s="24"/>
      <c r="I927" s="2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  <c r="AC927" s="234"/>
    </row>
    <row r="928" ht="17.25" customHeight="1">
      <c r="A928" s="24"/>
      <c r="B928" s="24"/>
      <c r="C928" s="24"/>
      <c r="D928" s="81"/>
      <c r="E928" s="81"/>
      <c r="F928" s="81"/>
      <c r="G928" s="81"/>
      <c r="H928" s="24"/>
      <c r="I928" s="2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  <c r="AC928" s="234"/>
    </row>
    <row r="929" ht="17.25" customHeight="1">
      <c r="A929" s="24"/>
      <c r="B929" s="24"/>
      <c r="C929" s="24"/>
      <c r="D929" s="81"/>
      <c r="E929" s="81"/>
      <c r="F929" s="81"/>
      <c r="G929" s="81"/>
      <c r="H929" s="24"/>
      <c r="I929" s="2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  <c r="AC929" s="234"/>
    </row>
    <row r="930" ht="17.25" customHeight="1">
      <c r="A930" s="24"/>
      <c r="B930" s="24"/>
      <c r="C930" s="24"/>
      <c r="D930" s="81"/>
      <c r="E930" s="81"/>
      <c r="F930" s="81"/>
      <c r="G930" s="81"/>
      <c r="H930" s="24"/>
      <c r="I930" s="2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  <c r="AC930" s="234"/>
    </row>
    <row r="931" ht="17.25" customHeight="1">
      <c r="A931" s="24"/>
      <c r="B931" s="24"/>
      <c r="C931" s="24"/>
      <c r="D931" s="81"/>
      <c r="E931" s="81"/>
      <c r="F931" s="81"/>
      <c r="G931" s="81"/>
      <c r="H931" s="24"/>
      <c r="I931" s="2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  <c r="AC931" s="234"/>
    </row>
    <row r="932" ht="17.25" customHeight="1">
      <c r="A932" s="24"/>
      <c r="B932" s="24"/>
      <c r="C932" s="24"/>
      <c r="D932" s="81"/>
      <c r="E932" s="81"/>
      <c r="F932" s="81"/>
      <c r="G932" s="81"/>
      <c r="H932" s="24"/>
      <c r="I932" s="2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  <c r="AC932" s="234"/>
    </row>
    <row r="933" ht="17.25" customHeight="1">
      <c r="A933" s="24"/>
      <c r="B933" s="24"/>
      <c r="C933" s="24"/>
      <c r="D933" s="81"/>
      <c r="E933" s="81"/>
      <c r="F933" s="81"/>
      <c r="G933" s="81"/>
      <c r="H933" s="24"/>
      <c r="I933" s="2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  <c r="AC933" s="234"/>
    </row>
    <row r="934" ht="17.25" customHeight="1">
      <c r="A934" s="24"/>
      <c r="B934" s="24"/>
      <c r="C934" s="24"/>
      <c r="D934" s="81"/>
      <c r="E934" s="81"/>
      <c r="F934" s="81"/>
      <c r="G934" s="81"/>
      <c r="H934" s="24"/>
      <c r="I934" s="2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  <c r="AC934" s="234"/>
    </row>
    <row r="935" ht="17.25" customHeight="1">
      <c r="A935" s="24"/>
      <c r="B935" s="24"/>
      <c r="C935" s="24"/>
      <c r="D935" s="81"/>
      <c r="E935" s="81"/>
      <c r="F935" s="81"/>
      <c r="G935" s="81"/>
      <c r="H935" s="24"/>
      <c r="I935" s="2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  <c r="AC935" s="234"/>
    </row>
    <row r="936" ht="17.25" customHeight="1">
      <c r="A936" s="24"/>
      <c r="B936" s="24"/>
      <c r="C936" s="24"/>
      <c r="D936" s="81"/>
      <c r="E936" s="81"/>
      <c r="F936" s="81"/>
      <c r="G936" s="81"/>
      <c r="H936" s="24"/>
      <c r="I936" s="2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  <c r="AC936" s="234"/>
    </row>
    <row r="937" ht="17.25" customHeight="1">
      <c r="A937" s="24"/>
      <c r="B937" s="24"/>
      <c r="C937" s="24"/>
      <c r="D937" s="81"/>
      <c r="E937" s="81"/>
      <c r="F937" s="81"/>
      <c r="G937" s="81"/>
      <c r="H937" s="24"/>
      <c r="I937" s="2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  <c r="AC937" s="234"/>
    </row>
    <row r="938" ht="17.25" customHeight="1">
      <c r="A938" s="24"/>
      <c r="B938" s="24"/>
      <c r="C938" s="24"/>
      <c r="D938" s="81"/>
      <c r="E938" s="81"/>
      <c r="F938" s="81"/>
      <c r="G938" s="81"/>
      <c r="H938" s="24"/>
      <c r="I938" s="2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  <c r="AC938" s="234"/>
    </row>
    <row r="939" ht="17.25" customHeight="1">
      <c r="A939" s="24"/>
      <c r="B939" s="24"/>
      <c r="C939" s="24"/>
      <c r="D939" s="81"/>
      <c r="E939" s="81"/>
      <c r="F939" s="81"/>
      <c r="G939" s="81"/>
      <c r="H939" s="24"/>
      <c r="I939" s="2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  <c r="AC939" s="234"/>
    </row>
    <row r="940" ht="17.25" customHeight="1">
      <c r="A940" s="24"/>
      <c r="B940" s="24"/>
      <c r="C940" s="24"/>
      <c r="D940" s="81"/>
      <c r="E940" s="81"/>
      <c r="F940" s="81"/>
      <c r="G940" s="81"/>
      <c r="H940" s="24"/>
      <c r="I940" s="2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  <c r="AC940" s="234"/>
    </row>
    <row r="941" ht="17.25" customHeight="1">
      <c r="A941" s="24"/>
      <c r="B941" s="24"/>
      <c r="C941" s="24"/>
      <c r="D941" s="81"/>
      <c r="E941" s="81"/>
      <c r="F941" s="81"/>
      <c r="G941" s="81"/>
      <c r="H941" s="24"/>
      <c r="I941" s="2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  <c r="AC941" s="234"/>
    </row>
    <row r="942" ht="17.25" customHeight="1">
      <c r="A942" s="24"/>
      <c r="B942" s="24"/>
      <c r="C942" s="24"/>
      <c r="D942" s="81"/>
      <c r="E942" s="81"/>
      <c r="F942" s="81"/>
      <c r="G942" s="81"/>
      <c r="H942" s="24"/>
      <c r="I942" s="2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  <c r="AC942" s="234"/>
    </row>
    <row r="943" ht="17.25" customHeight="1">
      <c r="A943" s="24"/>
      <c r="B943" s="24"/>
      <c r="C943" s="24"/>
      <c r="D943" s="81"/>
      <c r="E943" s="81"/>
      <c r="F943" s="81"/>
      <c r="G943" s="81"/>
      <c r="H943" s="24"/>
      <c r="I943" s="2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  <c r="AC943" s="234"/>
    </row>
    <row r="944" ht="17.25" customHeight="1">
      <c r="A944" s="24"/>
      <c r="B944" s="24"/>
      <c r="C944" s="24"/>
      <c r="D944" s="81"/>
      <c r="E944" s="81"/>
      <c r="F944" s="81"/>
      <c r="G944" s="81"/>
      <c r="H944" s="24"/>
      <c r="I944" s="2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  <c r="AC944" s="234"/>
    </row>
    <row r="945" ht="17.25" customHeight="1">
      <c r="A945" s="24"/>
      <c r="B945" s="24"/>
      <c r="C945" s="24"/>
      <c r="D945" s="81"/>
      <c r="E945" s="81"/>
      <c r="F945" s="81"/>
      <c r="G945" s="81"/>
      <c r="H945" s="24"/>
      <c r="I945" s="2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  <c r="AB945" s="234"/>
      <c r="AC945" s="234"/>
    </row>
    <row r="946" ht="17.25" customHeight="1">
      <c r="A946" s="24"/>
      <c r="B946" s="24"/>
      <c r="C946" s="24"/>
      <c r="D946" s="81"/>
      <c r="E946" s="81"/>
      <c r="F946" s="81"/>
      <c r="G946" s="81"/>
      <c r="H946" s="24"/>
      <c r="I946" s="2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  <c r="AB946" s="234"/>
      <c r="AC946" s="234"/>
    </row>
    <row r="947" ht="17.25" customHeight="1">
      <c r="A947" s="24"/>
      <c r="B947" s="24"/>
      <c r="C947" s="24"/>
      <c r="D947" s="81"/>
      <c r="E947" s="81"/>
      <c r="F947" s="81"/>
      <c r="G947" s="81"/>
      <c r="H947" s="24"/>
      <c r="I947" s="2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  <c r="AA947" s="234"/>
      <c r="AB947" s="234"/>
      <c r="AC947" s="234"/>
    </row>
    <row r="948" ht="17.25" customHeight="1">
      <c r="A948" s="24"/>
      <c r="B948" s="24"/>
      <c r="C948" s="24"/>
      <c r="D948" s="81"/>
      <c r="E948" s="81"/>
      <c r="F948" s="81"/>
      <c r="G948" s="81"/>
      <c r="H948" s="24"/>
      <c r="I948" s="2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  <c r="AA948" s="234"/>
      <c r="AB948" s="234"/>
      <c r="AC948" s="234"/>
    </row>
    <row r="949" ht="17.25" customHeight="1">
      <c r="A949" s="24"/>
      <c r="B949" s="24"/>
      <c r="C949" s="24"/>
      <c r="D949" s="81"/>
      <c r="E949" s="81"/>
      <c r="F949" s="81"/>
      <c r="G949" s="81"/>
      <c r="H949" s="24"/>
      <c r="I949" s="2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  <c r="AA949" s="234"/>
      <c r="AB949" s="234"/>
      <c r="AC949" s="234"/>
    </row>
    <row r="950" ht="17.25" customHeight="1">
      <c r="A950" s="24"/>
      <c r="B950" s="24"/>
      <c r="C950" s="24"/>
      <c r="D950" s="81"/>
      <c r="E950" s="81"/>
      <c r="F950" s="81"/>
      <c r="G950" s="81"/>
      <c r="H950" s="24"/>
      <c r="I950" s="2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  <c r="AA950" s="234"/>
      <c r="AB950" s="234"/>
      <c r="AC950" s="234"/>
    </row>
    <row r="951" ht="17.25" customHeight="1">
      <c r="A951" s="24"/>
      <c r="B951" s="24"/>
      <c r="C951" s="24"/>
      <c r="D951" s="81"/>
      <c r="E951" s="81"/>
      <c r="F951" s="81"/>
      <c r="G951" s="81"/>
      <c r="H951" s="24"/>
      <c r="I951" s="2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  <c r="AA951" s="234"/>
      <c r="AB951" s="234"/>
      <c r="AC951" s="234"/>
    </row>
    <row r="952" ht="17.25" customHeight="1">
      <c r="A952" s="24"/>
      <c r="B952" s="24"/>
      <c r="C952" s="24"/>
      <c r="D952" s="81"/>
      <c r="E952" s="81"/>
      <c r="F952" s="81"/>
      <c r="G952" s="81"/>
      <c r="H952" s="24"/>
      <c r="I952" s="2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  <c r="AA952" s="234"/>
      <c r="AB952" s="234"/>
      <c r="AC952" s="234"/>
    </row>
    <row r="953" ht="17.25" customHeight="1">
      <c r="A953" s="24"/>
      <c r="B953" s="24"/>
      <c r="C953" s="24"/>
      <c r="D953" s="81"/>
      <c r="E953" s="81"/>
      <c r="F953" s="81"/>
      <c r="G953" s="81"/>
      <c r="H953" s="24"/>
      <c r="I953" s="2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  <c r="AA953" s="234"/>
      <c r="AB953" s="234"/>
      <c r="AC953" s="234"/>
    </row>
    <row r="954" ht="17.25" customHeight="1">
      <c r="A954" s="24"/>
      <c r="B954" s="24"/>
      <c r="C954" s="24"/>
      <c r="D954" s="81"/>
      <c r="E954" s="81"/>
      <c r="F954" s="81"/>
      <c r="G954" s="81"/>
      <c r="H954" s="24"/>
      <c r="I954" s="2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  <c r="AA954" s="234"/>
      <c r="AB954" s="234"/>
      <c r="AC954" s="234"/>
    </row>
    <row r="955" ht="17.25" customHeight="1">
      <c r="A955" s="24"/>
      <c r="B955" s="24"/>
      <c r="C955" s="24"/>
      <c r="D955" s="81"/>
      <c r="E955" s="81"/>
      <c r="F955" s="81"/>
      <c r="G955" s="81"/>
      <c r="H955" s="24"/>
      <c r="I955" s="2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  <c r="AA955" s="234"/>
      <c r="AB955" s="234"/>
      <c r="AC955" s="234"/>
    </row>
    <row r="956" ht="17.25" customHeight="1">
      <c r="A956" s="24"/>
      <c r="B956" s="24"/>
      <c r="C956" s="24"/>
      <c r="D956" s="81"/>
      <c r="E956" s="81"/>
      <c r="F956" s="81"/>
      <c r="G956" s="81"/>
      <c r="H956" s="24"/>
      <c r="I956" s="2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  <c r="AA956" s="234"/>
      <c r="AB956" s="234"/>
      <c r="AC956" s="234"/>
    </row>
    <row r="957" ht="17.25" customHeight="1">
      <c r="A957" s="24"/>
      <c r="B957" s="24"/>
      <c r="C957" s="24"/>
      <c r="D957" s="81"/>
      <c r="E957" s="81"/>
      <c r="F957" s="81"/>
      <c r="G957" s="81"/>
      <c r="H957" s="24"/>
      <c r="I957" s="2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  <c r="AA957" s="234"/>
      <c r="AB957" s="234"/>
      <c r="AC957" s="234"/>
    </row>
    <row r="958" ht="17.25" customHeight="1">
      <c r="A958" s="24"/>
      <c r="B958" s="24"/>
      <c r="C958" s="24"/>
      <c r="D958" s="81"/>
      <c r="E958" s="81"/>
      <c r="F958" s="81"/>
      <c r="G958" s="81"/>
      <c r="H958" s="24"/>
      <c r="I958" s="2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  <c r="AA958" s="234"/>
      <c r="AB958" s="234"/>
      <c r="AC958" s="234"/>
    </row>
    <row r="959" ht="17.25" customHeight="1">
      <c r="A959" s="24"/>
      <c r="B959" s="24"/>
      <c r="C959" s="24"/>
      <c r="D959" s="81"/>
      <c r="E959" s="81"/>
      <c r="F959" s="81"/>
      <c r="G959" s="81"/>
      <c r="H959" s="24"/>
      <c r="I959" s="2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  <c r="AA959" s="234"/>
      <c r="AB959" s="234"/>
      <c r="AC959" s="234"/>
    </row>
    <row r="960" ht="17.25" customHeight="1">
      <c r="A960" s="24"/>
      <c r="B960" s="24"/>
      <c r="C960" s="24"/>
      <c r="D960" s="81"/>
      <c r="E960" s="81"/>
      <c r="F960" s="81"/>
      <c r="G960" s="81"/>
      <c r="H960" s="24"/>
      <c r="I960" s="2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  <c r="AA960" s="234"/>
      <c r="AB960" s="234"/>
      <c r="AC960" s="234"/>
    </row>
    <row r="961" ht="17.25" customHeight="1">
      <c r="A961" s="24"/>
      <c r="B961" s="24"/>
      <c r="C961" s="24"/>
      <c r="D961" s="81"/>
      <c r="E961" s="81"/>
      <c r="F961" s="81"/>
      <c r="G961" s="81"/>
      <c r="H961" s="24"/>
      <c r="I961" s="2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  <c r="AA961" s="234"/>
      <c r="AB961" s="234"/>
      <c r="AC961" s="234"/>
    </row>
    <row r="962" ht="17.25" customHeight="1">
      <c r="A962" s="24"/>
      <c r="B962" s="24"/>
      <c r="C962" s="24"/>
      <c r="D962" s="81"/>
      <c r="E962" s="81"/>
      <c r="F962" s="81"/>
      <c r="G962" s="81"/>
      <c r="H962" s="24"/>
      <c r="I962" s="2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  <c r="AB962" s="234"/>
      <c r="AC962" s="234"/>
    </row>
    <row r="963" ht="17.25" customHeight="1">
      <c r="A963" s="24"/>
      <c r="B963" s="24"/>
      <c r="C963" s="24"/>
      <c r="D963" s="81"/>
      <c r="E963" s="81"/>
      <c r="F963" s="81"/>
      <c r="G963" s="81"/>
      <c r="H963" s="24"/>
      <c r="I963" s="2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  <c r="AB963" s="234"/>
      <c r="AC963" s="234"/>
    </row>
    <row r="964" ht="17.25" customHeight="1">
      <c r="A964" s="24"/>
      <c r="B964" s="24"/>
      <c r="C964" s="24"/>
      <c r="D964" s="81"/>
      <c r="E964" s="81"/>
      <c r="F964" s="81"/>
      <c r="G964" s="81"/>
      <c r="H964" s="24"/>
      <c r="I964" s="2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  <c r="AB964" s="234"/>
      <c r="AC964" s="234"/>
    </row>
    <row r="965" ht="17.25" customHeight="1">
      <c r="A965" s="24"/>
      <c r="B965" s="24"/>
      <c r="C965" s="24"/>
      <c r="D965" s="81"/>
      <c r="E965" s="81"/>
      <c r="F965" s="81"/>
      <c r="G965" s="81"/>
      <c r="H965" s="24"/>
      <c r="I965" s="2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  <c r="AB965" s="234"/>
      <c r="AC965" s="234"/>
    </row>
    <row r="966" ht="17.25" customHeight="1">
      <c r="A966" s="24"/>
      <c r="B966" s="24"/>
      <c r="C966" s="24"/>
      <c r="D966" s="81"/>
      <c r="E966" s="81"/>
      <c r="F966" s="81"/>
      <c r="G966" s="81"/>
      <c r="H966" s="24"/>
      <c r="I966" s="2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  <c r="AC966" s="234"/>
    </row>
    <row r="967" ht="17.25" customHeight="1">
      <c r="A967" s="24"/>
      <c r="B967" s="24"/>
      <c r="C967" s="24"/>
      <c r="D967" s="81"/>
      <c r="E967" s="81"/>
      <c r="F967" s="81"/>
      <c r="G967" s="81"/>
      <c r="H967" s="24"/>
      <c r="I967" s="2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  <c r="AC967" s="234"/>
    </row>
    <row r="968" ht="17.25" customHeight="1">
      <c r="A968" s="24"/>
      <c r="B968" s="24"/>
      <c r="C968" s="24"/>
      <c r="D968" s="81"/>
      <c r="E968" s="81"/>
      <c r="F968" s="81"/>
      <c r="G968" s="81"/>
      <c r="H968" s="24"/>
      <c r="I968" s="2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  <c r="AC968" s="234"/>
    </row>
    <row r="969" ht="17.25" customHeight="1">
      <c r="A969" s="24"/>
      <c r="B969" s="24"/>
      <c r="C969" s="24"/>
      <c r="D969" s="81"/>
      <c r="E969" s="81"/>
      <c r="F969" s="81"/>
      <c r="G969" s="81"/>
      <c r="H969" s="24"/>
      <c r="I969" s="2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  <c r="AC969" s="234"/>
    </row>
    <row r="970" ht="17.25" customHeight="1">
      <c r="A970" s="24"/>
      <c r="B970" s="24"/>
      <c r="C970" s="24"/>
      <c r="D970" s="81"/>
      <c r="E970" s="81"/>
      <c r="F970" s="81"/>
      <c r="G970" s="81"/>
      <c r="H970" s="24"/>
      <c r="I970" s="2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  <c r="AB970" s="234"/>
      <c r="AC970" s="234"/>
    </row>
    <row r="971" ht="17.25" customHeight="1">
      <c r="A971" s="24"/>
      <c r="B971" s="24"/>
      <c r="C971" s="24"/>
      <c r="D971" s="81"/>
      <c r="E971" s="81"/>
      <c r="F971" s="81"/>
      <c r="G971" s="81"/>
      <c r="H971" s="24"/>
      <c r="I971" s="2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  <c r="AB971" s="234"/>
      <c r="AC971" s="234"/>
    </row>
    <row r="972" ht="17.25" customHeight="1">
      <c r="A972" s="24"/>
      <c r="B972" s="24"/>
      <c r="C972" s="24"/>
      <c r="D972" s="81"/>
      <c r="E972" s="81"/>
      <c r="F972" s="81"/>
      <c r="G972" s="81"/>
      <c r="H972" s="24"/>
      <c r="I972" s="2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  <c r="AA972" s="234"/>
      <c r="AB972" s="234"/>
      <c r="AC972" s="234"/>
    </row>
    <row r="973" ht="17.25" customHeight="1">
      <c r="A973" s="24"/>
      <c r="B973" s="24"/>
      <c r="C973" s="24"/>
      <c r="D973" s="81"/>
      <c r="E973" s="81"/>
      <c r="F973" s="81"/>
      <c r="G973" s="81"/>
      <c r="H973" s="24"/>
      <c r="I973" s="2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  <c r="AA973" s="234"/>
      <c r="AB973" s="234"/>
      <c r="AC973" s="234"/>
    </row>
    <row r="974" ht="17.25" customHeight="1">
      <c r="A974" s="24"/>
      <c r="B974" s="24"/>
      <c r="C974" s="24"/>
      <c r="D974" s="81"/>
      <c r="E974" s="81"/>
      <c r="F974" s="81"/>
      <c r="G974" s="81"/>
      <c r="H974" s="24"/>
      <c r="I974" s="2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  <c r="AA974" s="234"/>
      <c r="AB974" s="234"/>
      <c r="AC974" s="234"/>
    </row>
    <row r="975" ht="17.25" customHeight="1">
      <c r="A975" s="24"/>
      <c r="B975" s="24"/>
      <c r="C975" s="24"/>
      <c r="D975" s="81"/>
      <c r="E975" s="81"/>
      <c r="F975" s="81"/>
      <c r="G975" s="81"/>
      <c r="H975" s="24"/>
      <c r="I975" s="2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  <c r="AA975" s="234"/>
      <c r="AB975" s="234"/>
      <c r="AC975" s="234"/>
    </row>
    <row r="976" ht="17.25" customHeight="1">
      <c r="A976" s="24"/>
      <c r="B976" s="24"/>
      <c r="C976" s="24"/>
      <c r="D976" s="81"/>
      <c r="E976" s="81"/>
      <c r="F976" s="81"/>
      <c r="G976" s="81"/>
      <c r="H976" s="24"/>
      <c r="I976" s="2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  <c r="AA976" s="234"/>
      <c r="AB976" s="234"/>
      <c r="AC976" s="234"/>
    </row>
    <row r="977" ht="17.25" customHeight="1">
      <c r="A977" s="24"/>
      <c r="B977" s="24"/>
      <c r="C977" s="24"/>
      <c r="D977" s="81"/>
      <c r="E977" s="81"/>
      <c r="F977" s="81"/>
      <c r="G977" s="81"/>
      <c r="H977" s="24"/>
      <c r="I977" s="2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  <c r="AA977" s="234"/>
      <c r="AB977" s="234"/>
      <c r="AC977" s="234"/>
    </row>
    <row r="978" ht="17.25" customHeight="1">
      <c r="A978" s="24"/>
      <c r="B978" s="24"/>
      <c r="C978" s="24"/>
      <c r="D978" s="81"/>
      <c r="E978" s="81"/>
      <c r="F978" s="81"/>
      <c r="G978" s="81"/>
      <c r="H978" s="24"/>
      <c r="I978" s="2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  <c r="AA978" s="234"/>
      <c r="AB978" s="234"/>
      <c r="AC978" s="234"/>
    </row>
    <row r="979" ht="17.25" customHeight="1">
      <c r="A979" s="24"/>
      <c r="B979" s="24"/>
      <c r="C979" s="24"/>
      <c r="D979" s="81"/>
      <c r="E979" s="81"/>
      <c r="F979" s="81"/>
      <c r="G979" s="81"/>
      <c r="H979" s="24"/>
      <c r="I979" s="2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  <c r="AA979" s="234"/>
      <c r="AB979" s="234"/>
      <c r="AC979" s="234"/>
    </row>
    <row r="980" ht="17.25" customHeight="1">
      <c r="A980" s="24"/>
      <c r="B980" s="24"/>
      <c r="C980" s="24"/>
      <c r="D980" s="81"/>
      <c r="E980" s="81"/>
      <c r="F980" s="81"/>
      <c r="G980" s="81"/>
      <c r="H980" s="24"/>
      <c r="I980" s="2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  <c r="AB980" s="234"/>
      <c r="AC980" s="234"/>
    </row>
    <row r="981" ht="17.25" customHeight="1">
      <c r="A981" s="24"/>
      <c r="B981" s="24"/>
      <c r="C981" s="24"/>
      <c r="D981" s="81"/>
      <c r="E981" s="81"/>
      <c r="F981" s="81"/>
      <c r="G981" s="81"/>
      <c r="H981" s="24"/>
      <c r="I981" s="2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  <c r="AA981" s="234"/>
      <c r="AB981" s="234"/>
      <c r="AC981" s="234"/>
    </row>
    <row r="982" ht="17.25" customHeight="1">
      <c r="A982" s="24"/>
      <c r="B982" s="24"/>
      <c r="C982" s="24"/>
      <c r="D982" s="81"/>
      <c r="E982" s="81"/>
      <c r="F982" s="81"/>
      <c r="G982" s="81"/>
      <c r="H982" s="24"/>
      <c r="I982" s="2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  <c r="AA982" s="234"/>
      <c r="AB982" s="234"/>
      <c r="AC982" s="234"/>
    </row>
    <row r="983" ht="17.25" customHeight="1">
      <c r="A983" s="24"/>
      <c r="B983" s="24"/>
      <c r="C983" s="24"/>
      <c r="D983" s="81"/>
      <c r="E983" s="81"/>
      <c r="F983" s="81"/>
      <c r="G983" s="81"/>
      <c r="H983" s="24"/>
      <c r="I983" s="2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  <c r="AA983" s="234"/>
      <c r="AB983" s="234"/>
      <c r="AC983" s="234"/>
    </row>
    <row r="984" ht="17.25" customHeight="1">
      <c r="A984" s="24"/>
      <c r="B984" s="24"/>
      <c r="C984" s="24"/>
      <c r="D984" s="81"/>
      <c r="E984" s="81"/>
      <c r="F984" s="81"/>
      <c r="G984" s="81"/>
      <c r="H984" s="24"/>
      <c r="I984" s="2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  <c r="AA984" s="234"/>
      <c r="AB984" s="234"/>
      <c r="AC984" s="234"/>
    </row>
    <row r="985" ht="17.25" customHeight="1">
      <c r="A985" s="24"/>
      <c r="B985" s="24"/>
      <c r="C985" s="24"/>
      <c r="D985" s="81"/>
      <c r="E985" s="81"/>
      <c r="F985" s="81"/>
      <c r="G985" s="81"/>
      <c r="H985" s="24"/>
      <c r="I985" s="2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  <c r="AA985" s="234"/>
      <c r="AB985" s="234"/>
      <c r="AC985" s="234"/>
    </row>
    <row r="986" ht="17.25" customHeight="1">
      <c r="A986" s="24"/>
      <c r="B986" s="24"/>
      <c r="C986" s="24"/>
      <c r="D986" s="81"/>
      <c r="E986" s="81"/>
      <c r="F986" s="81"/>
      <c r="G986" s="81"/>
      <c r="H986" s="24"/>
      <c r="I986" s="2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  <c r="AA986" s="234"/>
      <c r="AB986" s="234"/>
      <c r="AC986" s="234"/>
    </row>
    <row r="987" ht="17.25" customHeight="1">
      <c r="A987" s="24"/>
      <c r="B987" s="24"/>
      <c r="C987" s="24"/>
      <c r="D987" s="81"/>
      <c r="E987" s="81"/>
      <c r="F987" s="81"/>
      <c r="G987" s="81"/>
      <c r="H987" s="24"/>
      <c r="I987" s="2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  <c r="AA987" s="234"/>
      <c r="AB987" s="234"/>
      <c r="AC987" s="234"/>
    </row>
    <row r="988" ht="17.25" customHeight="1">
      <c r="A988" s="24"/>
      <c r="B988" s="24"/>
      <c r="C988" s="24"/>
      <c r="D988" s="81"/>
      <c r="E988" s="81"/>
      <c r="F988" s="81"/>
      <c r="G988" s="81"/>
      <c r="H988" s="24"/>
      <c r="I988" s="2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  <c r="AA988" s="234"/>
      <c r="AB988" s="234"/>
      <c r="AC988" s="234"/>
    </row>
    <row r="989" ht="17.25" customHeight="1">
      <c r="A989" s="24"/>
      <c r="B989" s="24"/>
      <c r="C989" s="24"/>
      <c r="D989" s="81"/>
      <c r="E989" s="81"/>
      <c r="F989" s="81"/>
      <c r="G989" s="81"/>
      <c r="H989" s="24"/>
      <c r="I989" s="2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  <c r="AA989" s="234"/>
      <c r="AB989" s="234"/>
      <c r="AC989" s="234"/>
    </row>
    <row r="990" ht="17.25" customHeight="1">
      <c r="A990" s="24"/>
      <c r="B990" s="24"/>
      <c r="C990" s="24"/>
      <c r="D990" s="81"/>
      <c r="E990" s="81"/>
      <c r="F990" s="81"/>
      <c r="G990" s="81"/>
      <c r="H990" s="24"/>
      <c r="I990" s="2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  <c r="AA990" s="234"/>
      <c r="AB990" s="234"/>
      <c r="AC990" s="234"/>
    </row>
    <row r="991" ht="17.25" customHeight="1">
      <c r="A991" s="24"/>
      <c r="B991" s="24"/>
      <c r="C991" s="24"/>
      <c r="D991" s="81"/>
      <c r="E991" s="81"/>
      <c r="F991" s="81"/>
      <c r="G991" s="81"/>
      <c r="H991" s="24"/>
      <c r="I991" s="2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  <c r="AA991" s="234"/>
      <c r="AB991" s="234"/>
      <c r="AC991" s="234"/>
    </row>
    <row r="992" ht="17.25" customHeight="1">
      <c r="A992" s="24"/>
      <c r="B992" s="24"/>
      <c r="C992" s="24"/>
      <c r="D992" s="81"/>
      <c r="E992" s="81"/>
      <c r="F992" s="81"/>
      <c r="G992" s="81"/>
      <c r="H992" s="24"/>
      <c r="I992" s="2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  <c r="AA992" s="234"/>
      <c r="AB992" s="234"/>
      <c r="AC992" s="234"/>
    </row>
    <row r="993" ht="17.25" customHeight="1">
      <c r="A993" s="24"/>
      <c r="B993" s="24"/>
      <c r="C993" s="24"/>
      <c r="D993" s="81"/>
      <c r="E993" s="81"/>
      <c r="F993" s="81"/>
      <c r="G993" s="81"/>
      <c r="H993" s="24"/>
      <c r="I993" s="2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  <c r="AA993" s="234"/>
      <c r="AB993" s="234"/>
      <c r="AC993" s="234"/>
    </row>
    <row r="994" ht="17.25" customHeight="1">
      <c r="A994" s="24"/>
      <c r="B994" s="24"/>
      <c r="C994" s="24"/>
      <c r="D994" s="81"/>
      <c r="E994" s="81"/>
      <c r="F994" s="81"/>
      <c r="G994" s="81"/>
      <c r="H994" s="24"/>
      <c r="I994" s="2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  <c r="AA994" s="234"/>
      <c r="AB994" s="234"/>
      <c r="AC994" s="234"/>
    </row>
    <row r="995" ht="17.25" customHeight="1">
      <c r="A995" s="24"/>
      <c r="B995" s="24"/>
      <c r="C995" s="24"/>
      <c r="D995" s="81"/>
      <c r="E995" s="81"/>
      <c r="F995" s="81"/>
      <c r="G995" s="81"/>
      <c r="H995" s="24"/>
      <c r="I995" s="2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  <c r="AA995" s="234"/>
      <c r="AB995" s="234"/>
      <c r="AC995" s="234"/>
    </row>
    <row r="996" ht="17.25" customHeight="1">
      <c r="A996" s="24"/>
      <c r="B996" s="24"/>
      <c r="C996" s="24"/>
      <c r="D996" s="81"/>
      <c r="E996" s="81"/>
      <c r="F996" s="81"/>
      <c r="G996" s="81"/>
      <c r="H996" s="24"/>
      <c r="I996" s="2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  <c r="AA996" s="234"/>
      <c r="AB996" s="234"/>
      <c r="AC996" s="234"/>
    </row>
    <row r="997" ht="17.25" customHeight="1">
      <c r="A997" s="24"/>
      <c r="B997" s="24"/>
      <c r="C997" s="24"/>
      <c r="D997" s="81"/>
      <c r="E997" s="81"/>
      <c r="F997" s="81"/>
      <c r="G997" s="81"/>
      <c r="H997" s="24"/>
      <c r="I997" s="2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  <c r="AA997" s="234"/>
      <c r="AB997" s="234"/>
      <c r="AC997" s="234"/>
    </row>
    <row r="998" ht="17.25" customHeight="1">
      <c r="A998" s="24"/>
      <c r="B998" s="24"/>
      <c r="C998" s="24"/>
      <c r="D998" s="81"/>
      <c r="E998" s="81"/>
      <c r="F998" s="81"/>
      <c r="G998" s="81"/>
      <c r="H998" s="24"/>
      <c r="I998" s="2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  <c r="AA998" s="234"/>
      <c r="AB998" s="234"/>
      <c r="AC998" s="234"/>
    </row>
    <row r="999" ht="17.25" customHeight="1">
      <c r="A999" s="24"/>
      <c r="B999" s="24"/>
      <c r="C999" s="24"/>
      <c r="D999" s="81"/>
      <c r="E999" s="81"/>
      <c r="F999" s="81"/>
      <c r="G999" s="81"/>
      <c r="H999" s="24"/>
      <c r="I999" s="2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  <c r="AA999" s="234"/>
      <c r="AB999" s="234"/>
      <c r="AC999" s="234"/>
    </row>
    <row r="1000" ht="17.25" customHeight="1">
      <c r="A1000" s="24"/>
      <c r="B1000" s="24"/>
      <c r="C1000" s="24"/>
      <c r="D1000" s="81"/>
      <c r="E1000" s="81"/>
      <c r="F1000" s="81"/>
      <c r="G1000" s="81"/>
      <c r="H1000" s="24"/>
      <c r="I1000" s="2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  <c r="AA1000" s="234"/>
      <c r="AB1000" s="234"/>
      <c r="AC1000" s="234"/>
    </row>
    <row r="1001" ht="17.25" customHeight="1">
      <c r="A1001" s="24"/>
      <c r="B1001" s="24"/>
      <c r="C1001" s="24"/>
      <c r="D1001" s="81"/>
      <c r="E1001" s="81"/>
      <c r="F1001" s="81"/>
      <c r="G1001" s="81"/>
      <c r="H1001" s="24"/>
      <c r="I1001" s="24"/>
      <c r="J1001" s="234"/>
      <c r="K1001" s="234"/>
      <c r="L1001" s="234"/>
      <c r="M1001" s="234"/>
      <c r="N1001" s="234"/>
      <c r="O1001" s="234"/>
      <c r="P1001" s="234"/>
      <c r="Q1001" s="234"/>
      <c r="R1001" s="234"/>
      <c r="S1001" s="234"/>
      <c r="T1001" s="234"/>
      <c r="U1001" s="234"/>
      <c r="V1001" s="234"/>
      <c r="W1001" s="234"/>
      <c r="X1001" s="234"/>
      <c r="Y1001" s="234"/>
      <c r="Z1001" s="234"/>
      <c r="AA1001" s="234"/>
      <c r="AB1001" s="234"/>
      <c r="AC1001" s="234"/>
    </row>
    <row r="1002" ht="17.25" customHeight="1">
      <c r="A1002" s="24"/>
      <c r="B1002" s="24"/>
      <c r="C1002" s="24"/>
      <c r="D1002" s="81"/>
      <c r="E1002" s="81"/>
      <c r="F1002" s="81"/>
      <c r="G1002" s="81"/>
      <c r="H1002" s="24"/>
      <c r="I1002" s="24"/>
      <c r="J1002" s="234"/>
      <c r="K1002" s="234"/>
      <c r="L1002" s="234"/>
      <c r="M1002" s="234"/>
      <c r="N1002" s="234"/>
      <c r="O1002" s="234"/>
      <c r="P1002" s="234"/>
      <c r="Q1002" s="234"/>
      <c r="R1002" s="234"/>
      <c r="S1002" s="234"/>
      <c r="T1002" s="234"/>
      <c r="U1002" s="234"/>
      <c r="V1002" s="234"/>
      <c r="W1002" s="234"/>
      <c r="X1002" s="234"/>
      <c r="Y1002" s="234"/>
      <c r="Z1002" s="234"/>
      <c r="AA1002" s="234"/>
      <c r="AB1002" s="234"/>
      <c r="AC1002" s="234"/>
    </row>
    <row r="1003" ht="17.25" customHeight="1">
      <c r="A1003" s="24"/>
      <c r="B1003" s="24"/>
      <c r="C1003" s="24"/>
      <c r="D1003" s="81"/>
      <c r="E1003" s="81"/>
      <c r="F1003" s="81"/>
      <c r="G1003" s="81"/>
      <c r="H1003" s="24"/>
      <c r="I1003" s="24"/>
      <c r="J1003" s="234"/>
      <c r="K1003" s="234"/>
      <c r="L1003" s="234"/>
      <c r="M1003" s="234"/>
      <c r="N1003" s="234"/>
      <c r="O1003" s="234"/>
      <c r="P1003" s="234"/>
      <c r="Q1003" s="234"/>
      <c r="R1003" s="234"/>
      <c r="S1003" s="234"/>
      <c r="T1003" s="234"/>
      <c r="U1003" s="234"/>
      <c r="V1003" s="234"/>
      <c r="W1003" s="234"/>
      <c r="X1003" s="234"/>
      <c r="Y1003" s="234"/>
      <c r="Z1003" s="234"/>
      <c r="AA1003" s="234"/>
      <c r="AB1003" s="234"/>
      <c r="AC1003" s="234"/>
    </row>
    <row r="1004" ht="17.25" customHeight="1">
      <c r="A1004" s="24"/>
      <c r="B1004" s="24"/>
      <c r="C1004" s="24"/>
      <c r="D1004" s="81"/>
      <c r="E1004" s="81"/>
      <c r="F1004" s="81"/>
      <c r="G1004" s="81"/>
      <c r="H1004" s="24"/>
      <c r="I1004" s="24"/>
      <c r="J1004" s="234"/>
      <c r="K1004" s="234"/>
      <c r="L1004" s="234"/>
      <c r="M1004" s="234"/>
      <c r="N1004" s="234"/>
      <c r="O1004" s="234"/>
      <c r="P1004" s="234"/>
      <c r="Q1004" s="234"/>
      <c r="R1004" s="234"/>
      <c r="S1004" s="234"/>
      <c r="T1004" s="234"/>
      <c r="U1004" s="234"/>
      <c r="V1004" s="234"/>
      <c r="W1004" s="234"/>
      <c r="X1004" s="234"/>
      <c r="Y1004" s="234"/>
      <c r="Z1004" s="234"/>
      <c r="AA1004" s="234"/>
      <c r="AB1004" s="234"/>
      <c r="AC1004" s="234"/>
    </row>
    <row r="1005" ht="17.25" customHeight="1">
      <c r="A1005" s="24"/>
      <c r="B1005" s="24"/>
      <c r="C1005" s="24"/>
      <c r="D1005" s="81"/>
      <c r="E1005" s="81"/>
      <c r="F1005" s="81"/>
      <c r="G1005" s="81"/>
      <c r="H1005" s="24"/>
      <c r="I1005" s="24"/>
      <c r="J1005" s="234"/>
      <c r="K1005" s="234"/>
      <c r="L1005" s="234"/>
      <c r="M1005" s="234"/>
      <c r="N1005" s="234"/>
      <c r="O1005" s="234"/>
      <c r="P1005" s="234"/>
      <c r="Q1005" s="234"/>
      <c r="R1005" s="234"/>
      <c r="S1005" s="234"/>
      <c r="T1005" s="234"/>
      <c r="U1005" s="234"/>
      <c r="V1005" s="234"/>
      <c r="W1005" s="234"/>
      <c r="X1005" s="234"/>
      <c r="Y1005" s="234"/>
      <c r="Z1005" s="234"/>
      <c r="AA1005" s="234"/>
      <c r="AB1005" s="234"/>
      <c r="AC1005" s="234"/>
    </row>
    <row r="1006" ht="17.25" customHeight="1">
      <c r="A1006" s="24"/>
      <c r="B1006" s="24"/>
      <c r="C1006" s="24"/>
      <c r="D1006" s="81"/>
      <c r="E1006" s="81"/>
      <c r="F1006" s="81"/>
      <c r="G1006" s="81"/>
      <c r="H1006" s="24"/>
      <c r="I1006" s="24"/>
      <c r="J1006" s="234"/>
      <c r="K1006" s="234"/>
      <c r="L1006" s="234"/>
      <c r="M1006" s="234"/>
      <c r="N1006" s="234"/>
      <c r="O1006" s="234"/>
      <c r="P1006" s="234"/>
      <c r="Q1006" s="234"/>
      <c r="R1006" s="234"/>
      <c r="S1006" s="234"/>
      <c r="T1006" s="234"/>
      <c r="U1006" s="234"/>
      <c r="V1006" s="234"/>
      <c r="W1006" s="234"/>
      <c r="X1006" s="234"/>
      <c r="Y1006" s="234"/>
      <c r="Z1006" s="234"/>
      <c r="AA1006" s="234"/>
      <c r="AB1006" s="234"/>
      <c r="AC1006" s="234"/>
    </row>
    <row r="1007" ht="17.25" customHeight="1">
      <c r="A1007" s="24"/>
      <c r="B1007" s="24"/>
      <c r="C1007" s="24"/>
      <c r="D1007" s="81"/>
      <c r="E1007" s="81"/>
      <c r="F1007" s="81"/>
      <c r="G1007" s="81"/>
      <c r="H1007" s="24"/>
      <c r="I1007" s="24"/>
      <c r="J1007" s="234"/>
      <c r="K1007" s="234"/>
      <c r="L1007" s="234"/>
      <c r="M1007" s="234"/>
      <c r="N1007" s="234"/>
      <c r="O1007" s="234"/>
      <c r="P1007" s="234"/>
      <c r="Q1007" s="234"/>
      <c r="R1007" s="234"/>
      <c r="S1007" s="234"/>
      <c r="T1007" s="234"/>
      <c r="U1007" s="234"/>
      <c r="V1007" s="234"/>
      <c r="W1007" s="234"/>
      <c r="X1007" s="234"/>
      <c r="Y1007" s="234"/>
      <c r="Z1007" s="234"/>
      <c r="AA1007" s="234"/>
      <c r="AB1007" s="234"/>
      <c r="AC1007" s="234"/>
    </row>
    <row r="1008" ht="17.25" customHeight="1">
      <c r="A1008" s="24"/>
      <c r="B1008" s="24"/>
      <c r="C1008" s="24"/>
      <c r="D1008" s="81"/>
      <c r="E1008" s="81"/>
      <c r="F1008" s="81"/>
      <c r="G1008" s="81"/>
      <c r="H1008" s="24"/>
      <c r="I1008" s="24"/>
      <c r="J1008" s="234"/>
      <c r="K1008" s="234"/>
      <c r="L1008" s="234"/>
      <c r="M1008" s="234"/>
      <c r="N1008" s="234"/>
      <c r="O1008" s="234"/>
      <c r="P1008" s="234"/>
      <c r="Q1008" s="234"/>
      <c r="R1008" s="234"/>
      <c r="S1008" s="234"/>
      <c r="T1008" s="234"/>
      <c r="U1008" s="234"/>
      <c r="V1008" s="234"/>
      <c r="W1008" s="234"/>
      <c r="X1008" s="234"/>
      <c r="Y1008" s="234"/>
      <c r="Z1008" s="234"/>
      <c r="AA1008" s="234"/>
      <c r="AB1008" s="234"/>
      <c r="AC1008" s="234"/>
    </row>
    <row r="1009" ht="17.25" customHeight="1">
      <c r="A1009" s="24"/>
      <c r="B1009" s="24"/>
      <c r="C1009" s="24"/>
      <c r="D1009" s="81"/>
      <c r="E1009" s="81"/>
      <c r="F1009" s="81"/>
      <c r="G1009" s="81"/>
      <c r="H1009" s="24"/>
      <c r="I1009" s="24"/>
      <c r="J1009" s="234"/>
      <c r="K1009" s="234"/>
      <c r="L1009" s="234"/>
      <c r="M1009" s="234"/>
      <c r="N1009" s="234"/>
      <c r="O1009" s="234"/>
      <c r="P1009" s="234"/>
      <c r="Q1009" s="234"/>
      <c r="R1009" s="234"/>
      <c r="S1009" s="234"/>
      <c r="T1009" s="234"/>
      <c r="U1009" s="234"/>
      <c r="V1009" s="234"/>
      <c r="W1009" s="234"/>
      <c r="X1009" s="234"/>
      <c r="Y1009" s="234"/>
      <c r="Z1009" s="234"/>
      <c r="AA1009" s="234"/>
      <c r="AB1009" s="234"/>
      <c r="AC1009" s="234"/>
    </row>
    <row r="1010" ht="17.25" customHeight="1">
      <c r="A1010" s="24"/>
      <c r="B1010" s="24"/>
      <c r="C1010" s="24"/>
      <c r="D1010" s="81"/>
      <c r="E1010" s="81"/>
      <c r="F1010" s="81"/>
      <c r="G1010" s="81"/>
      <c r="H1010" s="24"/>
      <c r="I1010" s="24"/>
      <c r="J1010" s="234"/>
      <c r="K1010" s="234"/>
      <c r="L1010" s="234"/>
      <c r="M1010" s="234"/>
      <c r="N1010" s="234"/>
      <c r="O1010" s="234"/>
      <c r="P1010" s="234"/>
      <c r="Q1010" s="234"/>
      <c r="R1010" s="234"/>
      <c r="S1010" s="234"/>
      <c r="T1010" s="234"/>
      <c r="U1010" s="234"/>
      <c r="V1010" s="234"/>
      <c r="W1010" s="234"/>
      <c r="X1010" s="234"/>
      <c r="Y1010" s="234"/>
      <c r="Z1010" s="234"/>
      <c r="AA1010" s="234"/>
      <c r="AB1010" s="234"/>
      <c r="AC1010" s="234"/>
    </row>
    <row r="1011" ht="17.25" customHeight="1">
      <c r="A1011" s="24"/>
      <c r="B1011" s="24"/>
      <c r="C1011" s="24"/>
      <c r="D1011" s="81"/>
      <c r="E1011" s="81"/>
      <c r="F1011" s="81"/>
      <c r="G1011" s="81"/>
      <c r="H1011" s="24"/>
      <c r="I1011" s="24"/>
      <c r="J1011" s="234"/>
      <c r="K1011" s="234"/>
      <c r="L1011" s="234"/>
      <c r="M1011" s="234"/>
      <c r="N1011" s="234"/>
      <c r="O1011" s="234"/>
      <c r="P1011" s="234"/>
      <c r="Q1011" s="234"/>
      <c r="R1011" s="234"/>
      <c r="S1011" s="234"/>
      <c r="T1011" s="234"/>
      <c r="U1011" s="234"/>
      <c r="V1011" s="234"/>
      <c r="W1011" s="234"/>
      <c r="X1011" s="234"/>
      <c r="Y1011" s="234"/>
      <c r="Z1011" s="234"/>
      <c r="AA1011" s="234"/>
      <c r="AB1011" s="234"/>
      <c r="AC1011" s="234"/>
    </row>
    <row r="1012" ht="17.25" customHeight="1">
      <c r="A1012" s="24"/>
      <c r="B1012" s="24"/>
      <c r="C1012" s="24"/>
      <c r="D1012" s="81"/>
      <c r="E1012" s="81"/>
      <c r="F1012" s="81"/>
      <c r="G1012" s="81"/>
      <c r="H1012" s="24"/>
      <c r="I1012" s="24"/>
      <c r="J1012" s="234"/>
      <c r="K1012" s="234"/>
      <c r="L1012" s="234"/>
      <c r="M1012" s="234"/>
      <c r="N1012" s="234"/>
      <c r="O1012" s="234"/>
      <c r="P1012" s="234"/>
      <c r="Q1012" s="234"/>
      <c r="R1012" s="234"/>
      <c r="S1012" s="234"/>
      <c r="T1012" s="234"/>
      <c r="U1012" s="234"/>
      <c r="V1012" s="234"/>
      <c r="W1012" s="234"/>
      <c r="X1012" s="234"/>
      <c r="Y1012" s="234"/>
      <c r="Z1012" s="234"/>
      <c r="AA1012" s="234"/>
      <c r="AB1012" s="234"/>
      <c r="AC1012" s="234"/>
    </row>
    <row r="1013" ht="17.25" customHeight="1">
      <c r="A1013" s="24"/>
      <c r="B1013" s="24"/>
      <c r="C1013" s="24"/>
      <c r="D1013" s="81"/>
      <c r="E1013" s="81"/>
      <c r="F1013" s="81"/>
      <c r="G1013" s="81"/>
      <c r="H1013" s="24"/>
      <c r="I1013" s="24"/>
      <c r="J1013" s="234"/>
      <c r="K1013" s="234"/>
      <c r="L1013" s="234"/>
      <c r="M1013" s="234"/>
      <c r="N1013" s="234"/>
      <c r="O1013" s="234"/>
      <c r="P1013" s="234"/>
      <c r="Q1013" s="234"/>
      <c r="R1013" s="234"/>
      <c r="S1013" s="234"/>
      <c r="T1013" s="234"/>
      <c r="U1013" s="234"/>
      <c r="V1013" s="234"/>
      <c r="W1013" s="234"/>
      <c r="X1013" s="234"/>
      <c r="Y1013" s="234"/>
      <c r="Z1013" s="234"/>
      <c r="AA1013" s="234"/>
      <c r="AB1013" s="234"/>
      <c r="AC1013" s="234"/>
    </row>
    <row r="1014" ht="17.25" customHeight="1">
      <c r="A1014" s="24"/>
      <c r="B1014" s="24"/>
      <c r="C1014" s="24"/>
      <c r="D1014" s="81"/>
      <c r="E1014" s="81"/>
      <c r="F1014" s="81"/>
      <c r="G1014" s="81"/>
      <c r="H1014" s="24"/>
      <c r="I1014" s="24"/>
      <c r="J1014" s="234"/>
      <c r="K1014" s="234"/>
      <c r="L1014" s="234"/>
      <c r="M1014" s="234"/>
      <c r="N1014" s="234"/>
      <c r="O1014" s="234"/>
      <c r="P1014" s="234"/>
      <c r="Q1014" s="234"/>
      <c r="R1014" s="234"/>
      <c r="S1014" s="234"/>
      <c r="T1014" s="234"/>
      <c r="U1014" s="234"/>
      <c r="V1014" s="234"/>
      <c r="W1014" s="234"/>
      <c r="X1014" s="234"/>
      <c r="Y1014" s="234"/>
      <c r="Z1014" s="234"/>
      <c r="AA1014" s="234"/>
      <c r="AB1014" s="234"/>
      <c r="AC1014" s="234"/>
    </row>
  </sheetData>
  <autoFilter ref="$A$3:$H$48">
    <sortState ref="A3:H48">
      <sortCondition descending="1" ref="D3:D48"/>
      <sortCondition ref="F3:F48"/>
    </sortState>
  </autoFilter>
  <conditionalFormatting sqref="B27">
    <cfRule type="notContainsBlanks" dxfId="4" priority="1">
      <formula>LEN(TRIM(B27))&gt;0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43"/>
    <col customWidth="1" min="3" max="3" width="74.71"/>
    <col customWidth="1" min="4" max="4" width="30.29"/>
    <col customWidth="1" min="5" max="7" width="22.14"/>
    <col customWidth="1" min="8" max="9" width="39.71"/>
  </cols>
  <sheetData>
    <row r="1" ht="17.25" customHeight="1">
      <c r="A1" s="24"/>
      <c r="B1" s="24"/>
      <c r="C1" s="24"/>
      <c r="D1" s="81"/>
      <c r="E1" s="81"/>
      <c r="F1" s="81"/>
      <c r="G1" s="81"/>
      <c r="H1" s="81"/>
      <c r="I1" s="2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</row>
    <row r="2" ht="17.25" customHeight="1">
      <c r="A2" s="24"/>
      <c r="B2" s="214" t="s">
        <v>447</v>
      </c>
      <c r="C2" s="239" t="s">
        <v>754</v>
      </c>
      <c r="D2" s="216"/>
      <c r="E2" s="216"/>
      <c r="F2" s="216"/>
      <c r="G2" s="216"/>
      <c r="H2" s="216"/>
      <c r="I2" s="200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</row>
    <row r="3" ht="17.25" customHeight="1">
      <c r="A3" s="70" t="s">
        <v>3</v>
      </c>
      <c r="B3" s="72" t="s">
        <v>450</v>
      </c>
      <c r="C3" s="72" t="s">
        <v>755</v>
      </c>
      <c r="D3" s="72" t="s">
        <v>484</v>
      </c>
      <c r="E3" s="72" t="s">
        <v>452</v>
      </c>
      <c r="F3" s="72" t="s">
        <v>756</v>
      </c>
      <c r="G3" s="72" t="s">
        <v>757</v>
      </c>
      <c r="H3" s="72" t="s">
        <v>758</v>
      </c>
      <c r="I3" s="220"/>
      <c r="J3" s="56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17.25" customHeight="1">
      <c r="A4" s="222" t="s">
        <v>759</v>
      </c>
      <c r="B4" s="305" t="s">
        <v>496</v>
      </c>
      <c r="C4" s="192" t="s">
        <v>760</v>
      </c>
      <c r="D4" s="250" t="s">
        <v>761</v>
      </c>
      <c r="E4" s="251">
        <v>46028.0</v>
      </c>
      <c r="F4" s="251">
        <v>46034.0</v>
      </c>
      <c r="G4" s="252">
        <f t="shared" ref="G4:G5" si="1">F4-E4+1</f>
        <v>7</v>
      </c>
      <c r="H4" s="250" t="s">
        <v>762</v>
      </c>
      <c r="I4" s="200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ht="18.75" customHeight="1">
      <c r="A5" s="222" t="s">
        <v>763</v>
      </c>
      <c r="B5" s="376"/>
      <c r="C5" s="237" t="s">
        <v>764</v>
      </c>
      <c r="D5" s="256" t="s">
        <v>765</v>
      </c>
      <c r="E5" s="259">
        <v>46050.0</v>
      </c>
      <c r="F5" s="259">
        <v>46052.0</v>
      </c>
      <c r="G5" s="261">
        <f t="shared" si="1"/>
        <v>3</v>
      </c>
      <c r="H5" s="256" t="s">
        <v>762</v>
      </c>
      <c r="I5" s="20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17.25" customHeight="1">
      <c r="A6" s="182"/>
      <c r="B6" s="231"/>
      <c r="C6" s="163"/>
      <c r="D6" s="253"/>
      <c r="E6" s="224"/>
      <c r="F6" s="224"/>
      <c r="G6" s="224"/>
      <c r="H6" s="253"/>
      <c r="I6" s="23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95"/>
      <c r="W6" s="95"/>
      <c r="X6" s="95"/>
      <c r="Y6" s="95"/>
      <c r="Z6" s="95"/>
      <c r="AA6" s="95"/>
      <c r="AB6" s="95"/>
    </row>
    <row r="7" ht="17.25" customHeight="1">
      <c r="A7" s="222" t="s">
        <v>766</v>
      </c>
      <c r="B7" s="220" t="s">
        <v>524</v>
      </c>
      <c r="C7" s="237" t="s">
        <v>767</v>
      </c>
      <c r="D7" s="256" t="s">
        <v>768</v>
      </c>
      <c r="E7" s="259">
        <v>46057.0</v>
      </c>
      <c r="F7" s="259">
        <v>46058.0</v>
      </c>
      <c r="G7" s="256">
        <v>2.0</v>
      </c>
      <c r="H7" s="256" t="s">
        <v>762</v>
      </c>
      <c r="I7" s="23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17.25" customHeight="1">
      <c r="A8" s="222" t="s">
        <v>769</v>
      </c>
      <c r="B8" s="231"/>
      <c r="C8" s="192" t="s">
        <v>184</v>
      </c>
      <c r="D8" s="250" t="s">
        <v>770</v>
      </c>
      <c r="E8" s="377">
        <v>46072.0</v>
      </c>
      <c r="F8" s="377">
        <v>46076.0</v>
      </c>
      <c r="G8" s="378">
        <v>3.0</v>
      </c>
      <c r="H8" s="250" t="s">
        <v>762</v>
      </c>
      <c r="I8" s="23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ht="17.25" customHeight="1">
      <c r="A9" s="379" t="s">
        <v>771</v>
      </c>
      <c r="B9" s="179"/>
      <c r="C9" s="380" t="s">
        <v>772</v>
      </c>
      <c r="D9" s="381" t="s">
        <v>534</v>
      </c>
      <c r="E9" s="382">
        <v>46079.0</v>
      </c>
      <c r="F9" s="382">
        <v>46083.0</v>
      </c>
      <c r="G9" s="381">
        <v>3.0</v>
      </c>
      <c r="H9" s="381" t="s">
        <v>762</v>
      </c>
      <c r="I9" s="23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ht="17.25" customHeight="1">
      <c r="A10" s="222" t="s">
        <v>771</v>
      </c>
      <c r="B10" s="163"/>
      <c r="C10" s="192" t="s">
        <v>773</v>
      </c>
      <c r="D10" s="250" t="s">
        <v>534</v>
      </c>
      <c r="E10" s="383">
        <v>46079.0</v>
      </c>
      <c r="F10" s="383">
        <v>46083.0</v>
      </c>
      <c r="G10" s="250">
        <v>3.0</v>
      </c>
      <c r="H10" s="250" t="s">
        <v>762</v>
      </c>
      <c r="I10" s="23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95"/>
      <c r="W10" s="95"/>
      <c r="X10" s="95"/>
      <c r="Y10" s="95"/>
      <c r="Z10" s="95"/>
      <c r="AA10" s="95"/>
      <c r="AB10" s="95"/>
    </row>
    <row r="11" ht="17.25" customHeight="1">
      <c r="A11" s="182"/>
      <c r="B11" s="242"/>
      <c r="C11" s="200"/>
      <c r="D11" s="216"/>
      <c r="E11" s="303"/>
      <c r="F11" s="303"/>
      <c r="G11" s="246"/>
      <c r="H11" s="216"/>
      <c r="I11" s="247"/>
      <c r="J11" s="5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t="17.25" customHeight="1">
      <c r="A12" s="222" t="s">
        <v>769</v>
      </c>
      <c r="B12" s="384" t="s">
        <v>532</v>
      </c>
      <c r="C12" s="304" t="s">
        <v>774</v>
      </c>
      <c r="D12" s="250" t="s">
        <v>775</v>
      </c>
      <c r="E12" s="383">
        <v>46091.0</v>
      </c>
      <c r="F12" s="383">
        <v>46082.0</v>
      </c>
      <c r="G12" s="250">
        <v>2.0</v>
      </c>
      <c r="H12" s="250" t="s">
        <v>762</v>
      </c>
      <c r="I12" s="247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95"/>
      <c r="W12" s="95"/>
      <c r="X12" s="95"/>
      <c r="Y12" s="95"/>
      <c r="Z12" s="95"/>
      <c r="AA12" s="95"/>
      <c r="AB12" s="95"/>
    </row>
    <row r="13" ht="17.25" customHeight="1">
      <c r="A13" s="222" t="s">
        <v>769</v>
      </c>
      <c r="B13" s="244"/>
      <c r="C13" s="301" t="s">
        <v>776</v>
      </c>
      <c r="D13" s="256" t="s">
        <v>770</v>
      </c>
      <c r="E13" s="303">
        <v>46111.0</v>
      </c>
      <c r="F13" s="303">
        <v>46112.0</v>
      </c>
      <c r="G13" s="256">
        <v>2.0</v>
      </c>
      <c r="H13" s="256" t="s">
        <v>762</v>
      </c>
      <c r="I13" s="247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17.25" customHeight="1">
      <c r="A14" s="222" t="s">
        <v>769</v>
      </c>
      <c r="B14" s="231"/>
      <c r="C14" s="192" t="s">
        <v>777</v>
      </c>
      <c r="D14" s="253"/>
      <c r="E14" s="101">
        <v>46111.0</v>
      </c>
      <c r="F14" s="101">
        <v>46112.0</v>
      </c>
      <c r="G14" s="378">
        <v>2.0</v>
      </c>
      <c r="H14" s="250" t="s">
        <v>762</v>
      </c>
      <c r="I14" s="23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ht="17.25" customHeight="1">
      <c r="A15" s="222" t="s">
        <v>769</v>
      </c>
      <c r="B15" s="237"/>
      <c r="C15" s="237" t="s">
        <v>778</v>
      </c>
      <c r="D15" s="256" t="s">
        <v>534</v>
      </c>
      <c r="E15" s="105">
        <v>46111.0</v>
      </c>
      <c r="F15" s="105">
        <v>46111.0</v>
      </c>
      <c r="G15" s="270">
        <v>1.0</v>
      </c>
      <c r="H15" s="256" t="s">
        <v>762</v>
      </c>
      <c r="I15" s="23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7.25" customHeight="1">
      <c r="A16" s="182"/>
      <c r="B16" s="231"/>
      <c r="C16" s="163"/>
      <c r="D16" s="253"/>
      <c r="E16" s="224"/>
      <c r="F16" s="224"/>
      <c r="G16" s="224"/>
      <c r="H16" s="253"/>
      <c r="I16" s="23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95"/>
      <c r="W16" s="95"/>
      <c r="X16" s="95"/>
      <c r="Y16" s="95"/>
      <c r="Z16" s="95"/>
      <c r="AA16" s="95"/>
      <c r="AB16" s="95"/>
    </row>
    <row r="17" ht="17.25" customHeight="1">
      <c r="A17" s="222" t="s">
        <v>769</v>
      </c>
      <c r="B17" s="385" t="s">
        <v>779</v>
      </c>
      <c r="C17" s="204" t="s">
        <v>780</v>
      </c>
      <c r="D17" s="386" t="s">
        <v>534</v>
      </c>
      <c r="E17" s="308">
        <v>46112.0</v>
      </c>
      <c r="F17" s="308">
        <v>46113.0</v>
      </c>
      <c r="G17" s="387">
        <v>2.0</v>
      </c>
      <c r="H17" s="386" t="s">
        <v>762</v>
      </c>
      <c r="I17" s="23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17.25" customHeight="1">
      <c r="A18" s="222" t="s">
        <v>769</v>
      </c>
      <c r="B18" s="163"/>
      <c r="C18" s="192" t="s">
        <v>781</v>
      </c>
      <c r="D18" s="250" t="s">
        <v>782</v>
      </c>
      <c r="E18" s="383">
        <v>46112.0</v>
      </c>
      <c r="F18" s="383">
        <v>46113.0</v>
      </c>
      <c r="G18" s="250">
        <v>2.0</v>
      </c>
      <c r="H18" s="250" t="s">
        <v>762</v>
      </c>
      <c r="I18" s="23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ht="17.25" customHeight="1">
      <c r="A19" s="222" t="s">
        <v>783</v>
      </c>
      <c r="B19" s="163"/>
      <c r="C19" s="192" t="s">
        <v>784</v>
      </c>
      <c r="D19" s="250" t="s">
        <v>785</v>
      </c>
      <c r="E19" s="101">
        <v>46118.0</v>
      </c>
      <c r="F19" s="101">
        <v>46118.0</v>
      </c>
      <c r="G19" s="378">
        <v>1.0</v>
      </c>
      <c r="H19" s="250" t="s">
        <v>762</v>
      </c>
      <c r="I19" s="23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34"/>
      <c r="W19" s="234"/>
      <c r="X19" s="234"/>
      <c r="Y19" s="234"/>
      <c r="Z19" s="234"/>
      <c r="AA19" s="234"/>
      <c r="AB19" s="234"/>
    </row>
    <row r="20" ht="17.25" customHeight="1">
      <c r="A20" s="222" t="s">
        <v>771</v>
      </c>
      <c r="B20" s="171"/>
      <c r="C20" s="204" t="s">
        <v>786</v>
      </c>
      <c r="D20" s="386" t="s">
        <v>534</v>
      </c>
      <c r="E20" s="308">
        <v>46120.0</v>
      </c>
      <c r="F20" s="308">
        <v>46120.0</v>
      </c>
      <c r="G20" s="387">
        <v>1.0</v>
      </c>
      <c r="H20" s="386" t="s">
        <v>762</v>
      </c>
      <c r="I20" s="23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34"/>
      <c r="W20" s="234"/>
      <c r="X20" s="234"/>
      <c r="Y20" s="234"/>
      <c r="Z20" s="234"/>
      <c r="AA20" s="234"/>
      <c r="AB20" s="234"/>
    </row>
    <row r="21" ht="17.25" customHeight="1">
      <c r="A21" s="222" t="s">
        <v>787</v>
      </c>
      <c r="B21" s="171"/>
      <c r="C21" s="204" t="s">
        <v>788</v>
      </c>
      <c r="D21" s="386" t="s">
        <v>789</v>
      </c>
      <c r="E21" s="308">
        <v>46125.0</v>
      </c>
      <c r="F21" s="308">
        <v>46126.0</v>
      </c>
      <c r="G21" s="387">
        <v>2.0</v>
      </c>
      <c r="H21" s="386" t="s">
        <v>762</v>
      </c>
      <c r="I21" s="23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34"/>
      <c r="W21" s="234"/>
      <c r="X21" s="234"/>
      <c r="Y21" s="234"/>
      <c r="Z21" s="234"/>
      <c r="AA21" s="234"/>
      <c r="AB21" s="234"/>
    </row>
    <row r="22" ht="17.25" customHeight="1">
      <c r="A22" s="222" t="s">
        <v>763</v>
      </c>
      <c r="B22" s="231"/>
      <c r="C22" s="192" t="s">
        <v>790</v>
      </c>
      <c r="D22" s="250" t="s">
        <v>789</v>
      </c>
      <c r="E22" s="383">
        <v>46125.0</v>
      </c>
      <c r="F22" s="383">
        <v>46126.0</v>
      </c>
      <c r="G22" s="250">
        <v>2.0</v>
      </c>
      <c r="H22" s="250" t="s">
        <v>762</v>
      </c>
      <c r="I22" s="247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34"/>
      <c r="W22" s="234"/>
      <c r="X22" s="234"/>
      <c r="Y22" s="234"/>
      <c r="Z22" s="234"/>
      <c r="AA22" s="234"/>
      <c r="AB22" s="234"/>
    </row>
    <row r="23" ht="17.25" customHeight="1">
      <c r="A23" s="222" t="s">
        <v>769</v>
      </c>
      <c r="B23" s="171"/>
      <c r="C23" s="204" t="s">
        <v>791</v>
      </c>
      <c r="D23" s="386" t="s">
        <v>792</v>
      </c>
      <c r="E23" s="388">
        <v>46125.0</v>
      </c>
      <c r="F23" s="388">
        <v>46129.0</v>
      </c>
      <c r="G23" s="386">
        <v>5.0</v>
      </c>
      <c r="H23" s="386" t="s">
        <v>762</v>
      </c>
      <c r="I23" s="247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34"/>
      <c r="W23" s="234"/>
      <c r="X23" s="234"/>
      <c r="Y23" s="234"/>
      <c r="Z23" s="234"/>
      <c r="AA23" s="234"/>
      <c r="AB23" s="234"/>
    </row>
    <row r="24" ht="17.25" customHeight="1">
      <c r="A24" s="222" t="s">
        <v>769</v>
      </c>
      <c r="B24" s="163"/>
      <c r="C24" s="192" t="s">
        <v>793</v>
      </c>
      <c r="D24" s="250" t="s">
        <v>794</v>
      </c>
      <c r="E24" s="383">
        <v>46129.0</v>
      </c>
      <c r="F24" s="383">
        <v>46136.0</v>
      </c>
      <c r="G24" s="250">
        <v>6.0</v>
      </c>
      <c r="H24" s="250" t="s">
        <v>762</v>
      </c>
      <c r="I24" s="247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34"/>
      <c r="W24" s="234"/>
      <c r="X24" s="234"/>
      <c r="Y24" s="234"/>
      <c r="Z24" s="234"/>
      <c r="AA24" s="234"/>
      <c r="AB24" s="234"/>
    </row>
    <row r="25" ht="17.25" customHeight="1">
      <c r="A25" s="222" t="s">
        <v>795</v>
      </c>
      <c r="B25" s="171"/>
      <c r="C25" s="204" t="s">
        <v>796</v>
      </c>
      <c r="D25" s="386" t="s">
        <v>797</v>
      </c>
      <c r="E25" s="308">
        <v>46140.0</v>
      </c>
      <c r="F25" s="308">
        <v>46142.0</v>
      </c>
      <c r="G25" s="387">
        <v>3.0</v>
      </c>
      <c r="H25" s="386" t="s">
        <v>762</v>
      </c>
      <c r="I25" s="2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34"/>
      <c r="W25" s="234"/>
      <c r="X25" s="234"/>
      <c r="Y25" s="234"/>
      <c r="Z25" s="234"/>
      <c r="AA25" s="234"/>
      <c r="AB25" s="234"/>
    </row>
    <row r="26" ht="17.25" customHeight="1">
      <c r="A26" s="222" t="s">
        <v>798</v>
      </c>
      <c r="B26" s="163"/>
      <c r="C26" s="192" t="s">
        <v>799</v>
      </c>
      <c r="D26" s="250" t="s">
        <v>800</v>
      </c>
      <c r="E26" s="101">
        <v>46142.0</v>
      </c>
      <c r="F26" s="101">
        <v>46142.0</v>
      </c>
      <c r="G26" s="378">
        <v>1.0</v>
      </c>
      <c r="H26" s="250" t="s">
        <v>762</v>
      </c>
      <c r="I26" s="2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95"/>
      <c r="W26" s="95"/>
      <c r="X26" s="95"/>
      <c r="Y26" s="95"/>
      <c r="Z26" s="95"/>
      <c r="AA26" s="95"/>
      <c r="AB26" s="95"/>
    </row>
    <row r="27" ht="17.25" customHeight="1">
      <c r="A27" s="24"/>
      <c r="B27" s="242"/>
      <c r="C27" s="237"/>
      <c r="D27" s="256"/>
      <c r="E27" s="105"/>
      <c r="F27" s="105"/>
      <c r="G27" s="105"/>
      <c r="H27" s="389"/>
      <c r="I27" s="23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ht="17.25" customHeight="1">
      <c r="A28" s="56" t="s">
        <v>769</v>
      </c>
      <c r="B28" s="305" t="s">
        <v>568</v>
      </c>
      <c r="C28" s="390" t="s">
        <v>801</v>
      </c>
      <c r="D28" s="250" t="s">
        <v>802</v>
      </c>
      <c r="E28" s="101">
        <v>46148.0</v>
      </c>
      <c r="F28" s="101"/>
      <c r="G28" s="101"/>
      <c r="H28" s="391" t="s">
        <v>762</v>
      </c>
      <c r="I28" s="23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95"/>
      <c r="W28" s="95"/>
      <c r="X28" s="95"/>
      <c r="Y28" s="95"/>
      <c r="Z28" s="95"/>
      <c r="AA28" s="95"/>
      <c r="AB28" s="95"/>
    </row>
    <row r="29" ht="17.25" customHeight="1">
      <c r="A29" s="222" t="s">
        <v>803</v>
      </c>
      <c r="B29" s="237"/>
      <c r="C29" s="237" t="s">
        <v>804</v>
      </c>
      <c r="D29" s="256" t="s">
        <v>805</v>
      </c>
      <c r="E29" s="105">
        <v>46148.0</v>
      </c>
      <c r="F29" s="105">
        <v>46148.0</v>
      </c>
      <c r="G29" s="270">
        <v>1.0</v>
      </c>
      <c r="H29" s="256" t="s">
        <v>762</v>
      </c>
      <c r="I29" s="23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ht="17.25" customHeight="1">
      <c r="A30" s="222" t="s">
        <v>769</v>
      </c>
      <c r="B30" s="192"/>
      <c r="C30" s="192" t="s">
        <v>806</v>
      </c>
      <c r="D30" s="250" t="s">
        <v>807</v>
      </c>
      <c r="E30" s="101">
        <v>46149.0</v>
      </c>
      <c r="F30" s="101"/>
      <c r="G30" s="378"/>
      <c r="H30" s="250" t="s">
        <v>762</v>
      </c>
      <c r="I30" s="23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95"/>
      <c r="W30" s="95"/>
      <c r="X30" s="95"/>
      <c r="Y30" s="95"/>
      <c r="Z30" s="95"/>
      <c r="AA30" s="95"/>
      <c r="AB30" s="95"/>
    </row>
    <row r="31" ht="17.25" customHeight="1">
      <c r="A31" s="56" t="s">
        <v>808</v>
      </c>
      <c r="B31" s="24"/>
      <c r="C31" s="56" t="s">
        <v>809</v>
      </c>
      <c r="D31" s="358" t="s">
        <v>810</v>
      </c>
      <c r="E31" s="308">
        <v>46149.0</v>
      </c>
      <c r="F31" s="308">
        <v>46150.0</v>
      </c>
      <c r="G31" s="387">
        <v>2.0</v>
      </c>
      <c r="H31" s="358" t="s">
        <v>762</v>
      </c>
      <c r="I31" s="233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34"/>
      <c r="W31" s="234"/>
      <c r="X31" s="234"/>
      <c r="Y31" s="234"/>
      <c r="Z31" s="234"/>
      <c r="AA31" s="234"/>
      <c r="AB31" s="234"/>
    </row>
    <row r="32" ht="17.25" customHeight="1">
      <c r="A32" s="56" t="s">
        <v>129</v>
      </c>
      <c r="B32" s="95"/>
      <c r="C32" s="92" t="s">
        <v>811</v>
      </c>
      <c r="D32" s="341" t="s">
        <v>812</v>
      </c>
      <c r="E32" s="342">
        <v>46154.0</v>
      </c>
      <c r="F32" s="308">
        <v>46151.0</v>
      </c>
      <c r="G32" s="342"/>
      <c r="H32" s="391" t="s">
        <v>762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95"/>
      <c r="W32" s="95"/>
      <c r="X32" s="95"/>
      <c r="Y32" s="95"/>
      <c r="Z32" s="95"/>
      <c r="AA32" s="95"/>
      <c r="AB32" s="95"/>
    </row>
    <row r="33" ht="17.25" customHeight="1">
      <c r="A33" s="24"/>
      <c r="B33" s="24"/>
      <c r="C33" s="56" t="s">
        <v>813</v>
      </c>
      <c r="D33" s="358" t="s">
        <v>805</v>
      </c>
      <c r="E33" s="357">
        <v>46160.0</v>
      </c>
      <c r="F33" s="346">
        <v>46161.0</v>
      </c>
      <c r="G33" s="346"/>
      <c r="H33" s="256" t="s">
        <v>762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4"/>
      <c r="W33" s="234"/>
      <c r="X33" s="234"/>
      <c r="Y33" s="234"/>
      <c r="Z33" s="234"/>
      <c r="AA33" s="234"/>
      <c r="AB33" s="234"/>
    </row>
    <row r="34" ht="17.25" customHeight="1">
      <c r="A34" s="24"/>
      <c r="B34" s="92"/>
      <c r="C34" s="92" t="s">
        <v>814</v>
      </c>
      <c r="D34" s="341" t="s">
        <v>815</v>
      </c>
      <c r="E34" s="342">
        <v>46161.0</v>
      </c>
      <c r="F34" s="348">
        <v>46162.0</v>
      </c>
      <c r="G34" s="348"/>
      <c r="H34" s="250" t="s">
        <v>762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34"/>
      <c r="W34" s="234"/>
      <c r="X34" s="234"/>
      <c r="Y34" s="234"/>
      <c r="Z34" s="234"/>
      <c r="AA34" s="234"/>
      <c r="AB34" s="234"/>
    </row>
    <row r="35" ht="17.25" customHeight="1">
      <c r="A35" s="225"/>
      <c r="B35" s="349"/>
      <c r="C35" s="225"/>
      <c r="D35" s="350"/>
      <c r="E35" s="351"/>
      <c r="F35" s="351"/>
      <c r="G35" s="351"/>
      <c r="H35" s="350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</row>
    <row r="36" ht="17.25" customHeight="1">
      <c r="A36" s="222"/>
      <c r="B36" s="192"/>
      <c r="C36" s="192"/>
      <c r="D36" s="250"/>
      <c r="E36" s="101"/>
      <c r="F36" s="101"/>
      <c r="G36" s="101"/>
      <c r="H36" s="253"/>
      <c r="I36" s="233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ht="17.25" customHeight="1">
      <c r="A37" s="222"/>
      <c r="B37" s="237"/>
      <c r="C37" s="237"/>
      <c r="D37" s="256"/>
      <c r="E37" s="105"/>
      <c r="F37" s="105"/>
      <c r="G37" s="105"/>
      <c r="H37" s="256"/>
      <c r="I37" s="233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ht="17.25" customHeight="1">
      <c r="A38" s="222"/>
      <c r="B38" s="192"/>
      <c r="C38" s="192"/>
      <c r="D38" s="250"/>
      <c r="E38" s="101"/>
      <c r="F38" s="101"/>
      <c r="G38" s="101"/>
      <c r="H38" s="253"/>
      <c r="I38" s="23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ht="17.25" customHeight="1">
      <c r="A39" s="24"/>
      <c r="B39" s="24"/>
      <c r="C39" s="24"/>
      <c r="D39" s="81"/>
      <c r="E39" s="81"/>
      <c r="F39" s="81"/>
      <c r="G39" s="81"/>
      <c r="H39" s="8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34"/>
      <c r="W39" s="234"/>
      <c r="X39" s="234"/>
      <c r="Y39" s="234"/>
      <c r="Z39" s="234"/>
      <c r="AA39" s="234"/>
      <c r="AB39" s="234"/>
    </row>
    <row r="40" ht="17.25" customHeight="1">
      <c r="A40" s="24"/>
      <c r="B40" s="354"/>
      <c r="C40" s="92"/>
      <c r="D40" s="341"/>
      <c r="E40" s="342"/>
      <c r="F40" s="342"/>
      <c r="G40" s="341"/>
      <c r="H40" s="34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34"/>
      <c r="W40" s="234"/>
      <c r="X40" s="234"/>
      <c r="Y40" s="234"/>
      <c r="Z40" s="234"/>
      <c r="AA40" s="234"/>
      <c r="AB40" s="234"/>
    </row>
    <row r="41" ht="17.25" customHeight="1">
      <c r="A41" s="24"/>
      <c r="B41" s="355"/>
      <c r="C41" s="24"/>
      <c r="D41" s="81"/>
      <c r="E41" s="357"/>
      <c r="F41" s="357"/>
      <c r="G41" s="358"/>
      <c r="H41" s="8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ht="17.25" customHeight="1">
      <c r="A42" s="24"/>
      <c r="B42" s="354"/>
      <c r="C42" s="92"/>
      <c r="D42" s="341"/>
      <c r="E42" s="342"/>
      <c r="F42" s="342"/>
      <c r="G42" s="341"/>
      <c r="H42" s="34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34"/>
      <c r="W42" s="234"/>
      <c r="X42" s="234"/>
      <c r="Y42" s="234"/>
      <c r="Z42" s="234"/>
      <c r="AA42" s="234"/>
      <c r="AB42" s="234"/>
    </row>
    <row r="43" ht="17.25" customHeight="1">
      <c r="A43" s="24"/>
      <c r="B43" s="53"/>
      <c r="C43" s="53"/>
      <c r="D43" s="261"/>
      <c r="E43" s="257"/>
      <c r="F43" s="257"/>
      <c r="G43" s="261"/>
      <c r="H43" s="26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ht="17.25" customHeight="1">
      <c r="A44" s="24"/>
      <c r="B44" s="95"/>
      <c r="C44" s="92"/>
      <c r="D44" s="341"/>
      <c r="E44" s="342"/>
      <c r="F44" s="342"/>
      <c r="G44" s="252"/>
      <c r="H44" s="34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34"/>
      <c r="W44" s="234"/>
      <c r="X44" s="234"/>
      <c r="Y44" s="234"/>
      <c r="Z44" s="234"/>
      <c r="AA44" s="234"/>
      <c r="AB44" s="234"/>
    </row>
    <row r="45" ht="17.25" customHeight="1">
      <c r="A45" s="24"/>
      <c r="B45" s="24"/>
      <c r="C45" s="24"/>
      <c r="D45" s="81"/>
      <c r="E45" s="357"/>
      <c r="F45" s="357"/>
      <c r="G45" s="261"/>
      <c r="H45" s="8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ht="17.25" customHeight="1">
      <c r="A46" s="24"/>
      <c r="B46" s="95"/>
      <c r="C46" s="92"/>
      <c r="D46" s="366"/>
      <c r="E46" s="342"/>
      <c r="F46" s="342"/>
      <c r="G46" s="252"/>
      <c r="H46" s="34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ht="17.25" customHeight="1">
      <c r="A47" s="24"/>
      <c r="B47" s="355"/>
      <c r="C47" s="24"/>
      <c r="D47" s="81"/>
      <c r="E47" s="357"/>
      <c r="F47" s="357"/>
      <c r="G47" s="261"/>
      <c r="H47" s="8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ht="17.25" customHeight="1">
      <c r="A48" s="24"/>
      <c r="B48" s="24"/>
      <c r="C48" s="24"/>
      <c r="D48" s="81"/>
      <c r="E48" s="81"/>
      <c r="F48" s="81"/>
      <c r="G48" s="81"/>
      <c r="H48" s="8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34"/>
      <c r="W48" s="234"/>
      <c r="X48" s="234"/>
      <c r="Y48" s="234"/>
      <c r="Z48" s="234"/>
      <c r="AA48" s="234"/>
      <c r="AB48" s="234"/>
    </row>
    <row r="49" ht="17.25" customHeight="1">
      <c r="A49" s="24"/>
      <c r="B49" s="24"/>
      <c r="C49" s="24"/>
      <c r="D49" s="81"/>
      <c r="E49" s="81"/>
      <c r="F49" s="81"/>
      <c r="G49" s="81"/>
      <c r="H49" s="81"/>
      <c r="I49" s="2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</row>
    <row r="50" ht="17.25" customHeight="1">
      <c r="A50" s="24"/>
      <c r="B50" s="24"/>
      <c r="C50" s="56"/>
      <c r="D50" s="81"/>
      <c r="E50" s="81"/>
      <c r="F50" s="81"/>
      <c r="G50" s="81"/>
      <c r="H50" s="81"/>
      <c r="I50" s="2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</row>
    <row r="51" ht="17.25" customHeight="1">
      <c r="A51" s="24"/>
      <c r="B51" s="24"/>
      <c r="C51" s="56"/>
      <c r="D51" s="81"/>
      <c r="E51" s="81"/>
      <c r="F51" s="81"/>
      <c r="G51" s="81"/>
      <c r="H51" s="81"/>
      <c r="I51" s="2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</row>
    <row r="52" ht="17.25" customHeight="1">
      <c r="A52" s="24"/>
      <c r="B52" s="24"/>
      <c r="C52" s="56" t="s">
        <v>77</v>
      </c>
      <c r="D52" s="81"/>
      <c r="E52" s="81"/>
      <c r="F52" s="81"/>
      <c r="G52" s="81"/>
      <c r="H52" s="81"/>
      <c r="I52" s="2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</row>
    <row r="53" ht="17.25" customHeight="1">
      <c r="A53" s="24"/>
      <c r="B53" s="24"/>
      <c r="C53" s="24"/>
      <c r="D53" s="81"/>
      <c r="E53" s="81"/>
      <c r="F53" s="81"/>
      <c r="G53" s="81"/>
      <c r="H53" s="81"/>
      <c r="I53" s="2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</row>
    <row r="54" ht="17.25" customHeight="1">
      <c r="A54" s="24"/>
      <c r="B54" s="24"/>
      <c r="C54" s="24"/>
      <c r="D54" s="81"/>
      <c r="E54" s="81"/>
      <c r="F54" s="81"/>
      <c r="G54" s="81"/>
      <c r="H54" s="81"/>
      <c r="I54" s="2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</row>
    <row r="55" ht="17.25" customHeight="1">
      <c r="A55" s="24"/>
      <c r="B55" s="24"/>
      <c r="C55" s="24"/>
      <c r="D55" s="81"/>
      <c r="E55" s="81"/>
      <c r="F55" s="81"/>
      <c r="G55" s="81"/>
      <c r="H55" s="81"/>
      <c r="I55" s="2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</row>
    <row r="56" ht="17.25" customHeight="1">
      <c r="A56" s="24"/>
      <c r="B56" s="24"/>
      <c r="C56" s="24"/>
      <c r="D56" s="81"/>
      <c r="E56" s="81"/>
      <c r="F56" s="81"/>
      <c r="G56" s="81"/>
      <c r="H56" s="81"/>
      <c r="I56" s="2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</row>
    <row r="57" ht="17.25" customHeight="1">
      <c r="A57" s="24"/>
      <c r="B57" s="24"/>
      <c r="C57" s="24"/>
      <c r="D57" s="81"/>
      <c r="E57" s="81"/>
      <c r="F57" s="81"/>
      <c r="G57" s="81"/>
      <c r="H57" s="81"/>
      <c r="I57" s="2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</row>
    <row r="58" ht="17.25" customHeight="1">
      <c r="A58" s="24"/>
      <c r="B58" s="24"/>
      <c r="C58" s="24"/>
      <c r="D58" s="81"/>
      <c r="E58" s="81"/>
      <c r="F58" s="81"/>
      <c r="G58" s="81"/>
      <c r="H58" s="81"/>
      <c r="I58" s="2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</row>
    <row r="59" ht="17.25" customHeight="1">
      <c r="A59" s="24"/>
      <c r="B59" s="24"/>
      <c r="C59" s="24"/>
      <c r="D59" s="81"/>
      <c r="E59" s="81"/>
      <c r="F59" s="81"/>
      <c r="G59" s="81"/>
      <c r="H59" s="81"/>
      <c r="I59" s="2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</row>
    <row r="60" ht="17.25" customHeight="1">
      <c r="A60" s="24"/>
      <c r="B60" s="24"/>
      <c r="C60" s="24"/>
      <c r="D60" s="81"/>
      <c r="E60" s="81"/>
      <c r="F60" s="81"/>
      <c r="G60" s="81"/>
      <c r="H60" s="81"/>
      <c r="I60" s="2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</row>
    <row r="61" ht="17.25" customHeight="1">
      <c r="A61" s="24"/>
      <c r="B61" s="24"/>
      <c r="C61" s="24"/>
      <c r="D61" s="81"/>
      <c r="E61" s="81"/>
      <c r="F61" s="81"/>
      <c r="G61" s="81"/>
      <c r="H61" s="81"/>
      <c r="I61" s="2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</row>
    <row r="62" ht="17.25" customHeight="1">
      <c r="A62" s="24"/>
      <c r="B62" s="24"/>
      <c r="C62" s="24"/>
      <c r="D62" s="81"/>
      <c r="E62" s="81"/>
      <c r="F62" s="81"/>
      <c r="G62" s="81"/>
      <c r="H62" s="81"/>
      <c r="I62" s="2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</row>
    <row r="63" ht="17.25" customHeight="1">
      <c r="A63" s="24"/>
      <c r="B63" s="24"/>
      <c r="C63" s="24"/>
      <c r="D63" s="81"/>
      <c r="E63" s="81"/>
      <c r="F63" s="81"/>
      <c r="G63" s="81"/>
      <c r="H63" s="81"/>
      <c r="I63" s="2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</row>
    <row r="64" ht="17.25" customHeight="1">
      <c r="A64" s="24"/>
      <c r="B64" s="24"/>
      <c r="C64" s="24"/>
      <c r="D64" s="81"/>
      <c r="E64" s="81"/>
      <c r="F64" s="81"/>
      <c r="G64" s="81"/>
      <c r="H64" s="81"/>
      <c r="I64" s="2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</row>
    <row r="65" ht="17.25" customHeight="1">
      <c r="A65" s="24"/>
      <c r="B65" s="24"/>
      <c r="C65" s="24"/>
      <c r="D65" s="81"/>
      <c r="E65" s="81"/>
      <c r="F65" s="81"/>
      <c r="G65" s="81"/>
      <c r="H65" s="81"/>
      <c r="I65" s="2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</row>
    <row r="66" ht="17.25" customHeight="1">
      <c r="A66" s="24"/>
      <c r="B66" s="24"/>
      <c r="C66" s="24"/>
      <c r="D66" s="81"/>
      <c r="E66" s="81"/>
      <c r="F66" s="81"/>
      <c r="G66" s="81"/>
      <c r="H66" s="81"/>
      <c r="I66" s="2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</row>
    <row r="67" ht="17.25" customHeight="1">
      <c r="A67" s="24"/>
      <c r="B67" s="24"/>
      <c r="C67" s="24"/>
      <c r="D67" s="81"/>
      <c r="E67" s="81"/>
      <c r="F67" s="81"/>
      <c r="G67" s="81"/>
      <c r="H67" s="81"/>
      <c r="I67" s="2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</row>
    <row r="68" ht="17.25" customHeight="1">
      <c r="A68" s="24"/>
      <c r="B68" s="24"/>
      <c r="C68" s="24"/>
      <c r="D68" s="81"/>
      <c r="E68" s="81"/>
      <c r="F68" s="81"/>
      <c r="G68" s="81"/>
      <c r="H68" s="81"/>
      <c r="I68" s="2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</row>
    <row r="69" ht="17.25" customHeight="1">
      <c r="A69" s="24"/>
      <c r="B69" s="24"/>
      <c r="C69" s="24"/>
      <c r="D69" s="81"/>
      <c r="E69" s="81"/>
      <c r="F69" s="81"/>
      <c r="G69" s="81"/>
      <c r="H69" s="81"/>
      <c r="I69" s="2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</row>
    <row r="70" ht="17.25" customHeight="1">
      <c r="A70" s="24"/>
      <c r="B70" s="24"/>
      <c r="C70" s="24"/>
      <c r="D70" s="81"/>
      <c r="E70" s="81"/>
      <c r="F70" s="81"/>
      <c r="G70" s="81"/>
      <c r="H70" s="81"/>
      <c r="I70" s="2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</row>
    <row r="71" ht="17.25" customHeight="1">
      <c r="A71" s="24"/>
      <c r="B71" s="24"/>
      <c r="C71" s="24"/>
      <c r="D71" s="81"/>
      <c r="E71" s="81"/>
      <c r="F71" s="81"/>
      <c r="G71" s="81"/>
      <c r="H71" s="81"/>
      <c r="I71" s="2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</row>
    <row r="72" ht="17.25" customHeight="1">
      <c r="A72" s="24"/>
      <c r="B72" s="24"/>
      <c r="C72" s="24"/>
      <c r="D72" s="81"/>
      <c r="E72" s="81"/>
      <c r="F72" s="81"/>
      <c r="G72" s="81"/>
      <c r="H72" s="81"/>
      <c r="I72" s="2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</row>
    <row r="73" ht="17.25" customHeight="1">
      <c r="A73" s="24"/>
      <c r="B73" s="24"/>
      <c r="C73" s="24"/>
      <c r="D73" s="81"/>
      <c r="E73" s="81"/>
      <c r="F73" s="81"/>
      <c r="G73" s="81"/>
      <c r="H73" s="81"/>
      <c r="I73" s="2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</row>
    <row r="74" ht="17.25" customHeight="1">
      <c r="A74" s="24"/>
      <c r="B74" s="24"/>
      <c r="C74" s="24"/>
      <c r="D74" s="81"/>
      <c r="E74" s="81"/>
      <c r="F74" s="81"/>
      <c r="G74" s="81"/>
      <c r="H74" s="81"/>
      <c r="I74" s="2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</row>
    <row r="75" ht="17.25" customHeight="1">
      <c r="A75" s="24"/>
      <c r="B75" s="24"/>
      <c r="C75" s="24"/>
      <c r="D75" s="81"/>
      <c r="E75" s="81"/>
      <c r="F75" s="81"/>
      <c r="G75" s="81"/>
      <c r="H75" s="81"/>
      <c r="I75" s="2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</row>
    <row r="76" ht="17.25" customHeight="1">
      <c r="A76" s="24"/>
      <c r="B76" s="24"/>
      <c r="C76" s="24"/>
      <c r="D76" s="81"/>
      <c r="E76" s="81"/>
      <c r="F76" s="81"/>
      <c r="G76" s="81"/>
      <c r="H76" s="81"/>
      <c r="I76" s="2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</row>
    <row r="77" ht="17.25" customHeight="1">
      <c r="A77" s="24"/>
      <c r="B77" s="24"/>
      <c r="C77" s="24"/>
      <c r="D77" s="81"/>
      <c r="E77" s="81"/>
      <c r="F77" s="81"/>
      <c r="G77" s="81"/>
      <c r="H77" s="81"/>
      <c r="I77" s="2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</row>
    <row r="78" ht="17.25" customHeight="1">
      <c r="A78" s="24"/>
      <c r="B78" s="24"/>
      <c r="C78" s="24"/>
      <c r="D78" s="81"/>
      <c r="E78" s="81"/>
      <c r="F78" s="81"/>
      <c r="G78" s="81"/>
      <c r="H78" s="81"/>
      <c r="I78" s="2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</row>
    <row r="79" ht="17.25" customHeight="1">
      <c r="A79" s="24"/>
      <c r="B79" s="24"/>
      <c r="C79" s="24"/>
      <c r="D79" s="81"/>
      <c r="E79" s="81"/>
      <c r="F79" s="81"/>
      <c r="G79" s="81"/>
      <c r="H79" s="81"/>
      <c r="I79" s="2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</row>
    <row r="80" ht="17.25" customHeight="1">
      <c r="A80" s="24"/>
      <c r="B80" s="24"/>
      <c r="C80" s="24"/>
      <c r="D80" s="81"/>
      <c r="E80" s="81"/>
      <c r="F80" s="81"/>
      <c r="G80" s="81"/>
      <c r="H80" s="81"/>
      <c r="I80" s="2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</row>
    <row r="81" ht="17.25" customHeight="1">
      <c r="A81" s="24"/>
      <c r="B81" s="24"/>
      <c r="C81" s="24"/>
      <c r="D81" s="81"/>
      <c r="E81" s="81"/>
      <c r="F81" s="81"/>
      <c r="G81" s="81"/>
      <c r="H81" s="81"/>
      <c r="I81" s="2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</row>
    <row r="82" ht="17.25" customHeight="1">
      <c r="A82" s="24"/>
      <c r="B82" s="24"/>
      <c r="C82" s="24"/>
      <c r="D82" s="81"/>
      <c r="E82" s="81"/>
      <c r="F82" s="81"/>
      <c r="G82" s="81"/>
      <c r="H82" s="81"/>
      <c r="I82" s="2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</row>
    <row r="83" ht="17.25" customHeight="1">
      <c r="A83" s="24"/>
      <c r="B83" s="24"/>
      <c r="C83" s="24"/>
      <c r="D83" s="81"/>
      <c r="E83" s="81"/>
      <c r="F83" s="81"/>
      <c r="G83" s="81"/>
      <c r="H83" s="81"/>
      <c r="I83" s="2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</row>
    <row r="84" ht="17.25" customHeight="1">
      <c r="A84" s="24"/>
      <c r="B84" s="24"/>
      <c r="C84" s="24"/>
      <c r="D84" s="81"/>
      <c r="E84" s="81"/>
      <c r="F84" s="81"/>
      <c r="G84" s="81"/>
      <c r="H84" s="81"/>
      <c r="I84" s="2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</row>
    <row r="85" ht="17.25" customHeight="1">
      <c r="A85" s="24"/>
      <c r="B85" s="24"/>
      <c r="C85" s="24"/>
      <c r="D85" s="81"/>
      <c r="E85" s="81"/>
      <c r="F85" s="81"/>
      <c r="G85" s="81"/>
      <c r="H85" s="81"/>
      <c r="I85" s="2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</row>
    <row r="86" ht="17.25" customHeight="1">
      <c r="A86" s="24"/>
      <c r="B86" s="24"/>
      <c r="C86" s="24"/>
      <c r="D86" s="81"/>
      <c r="E86" s="81"/>
      <c r="F86" s="81"/>
      <c r="G86" s="81"/>
      <c r="H86" s="81"/>
      <c r="I86" s="2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</row>
    <row r="87" ht="17.25" customHeight="1">
      <c r="A87" s="24"/>
      <c r="B87" s="24"/>
      <c r="C87" s="24"/>
      <c r="D87" s="81"/>
      <c r="E87" s="81"/>
      <c r="F87" s="81"/>
      <c r="G87" s="81"/>
      <c r="H87" s="81"/>
      <c r="I87" s="2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</row>
    <row r="88" ht="17.25" customHeight="1">
      <c r="A88" s="24"/>
      <c r="B88" s="24"/>
      <c r="C88" s="24"/>
      <c r="D88" s="81"/>
      <c r="E88" s="81"/>
      <c r="F88" s="81"/>
      <c r="G88" s="81"/>
      <c r="H88" s="81"/>
      <c r="I88" s="2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</row>
    <row r="89" ht="17.25" customHeight="1">
      <c r="A89" s="24"/>
      <c r="B89" s="24"/>
      <c r="C89" s="24"/>
      <c r="D89" s="81"/>
      <c r="E89" s="81"/>
      <c r="F89" s="81"/>
      <c r="G89" s="81"/>
      <c r="H89" s="81"/>
      <c r="I89" s="2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</row>
    <row r="90" ht="17.25" customHeight="1">
      <c r="A90" s="24"/>
      <c r="B90" s="24"/>
      <c r="C90" s="24"/>
      <c r="D90" s="81"/>
      <c r="E90" s="81"/>
      <c r="F90" s="81"/>
      <c r="G90" s="81"/>
      <c r="H90" s="81"/>
      <c r="I90" s="2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</row>
    <row r="91" ht="17.25" customHeight="1">
      <c r="A91" s="24"/>
      <c r="B91" s="24"/>
      <c r="C91" s="24"/>
      <c r="D91" s="81"/>
      <c r="E91" s="81"/>
      <c r="F91" s="81"/>
      <c r="G91" s="81"/>
      <c r="H91" s="81"/>
      <c r="I91" s="2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</row>
    <row r="92" ht="17.25" customHeight="1">
      <c r="A92" s="24"/>
      <c r="B92" s="24"/>
      <c r="C92" s="24"/>
      <c r="D92" s="81"/>
      <c r="E92" s="81"/>
      <c r="F92" s="81"/>
      <c r="G92" s="81"/>
      <c r="H92" s="81"/>
      <c r="I92" s="2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</row>
    <row r="93" ht="17.25" customHeight="1">
      <c r="A93" s="24"/>
      <c r="B93" s="24"/>
      <c r="C93" s="24"/>
      <c r="D93" s="81"/>
      <c r="E93" s="81"/>
      <c r="F93" s="81"/>
      <c r="G93" s="81"/>
      <c r="H93" s="81"/>
      <c r="I93" s="2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</row>
    <row r="94" ht="17.25" customHeight="1">
      <c r="A94" s="24"/>
      <c r="B94" s="24"/>
      <c r="C94" s="24"/>
      <c r="D94" s="81"/>
      <c r="E94" s="81"/>
      <c r="F94" s="81"/>
      <c r="G94" s="81"/>
      <c r="H94" s="81"/>
      <c r="I94" s="2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</row>
    <row r="95" ht="17.25" customHeight="1">
      <c r="A95" s="24"/>
      <c r="B95" s="24"/>
      <c r="C95" s="24"/>
      <c r="D95" s="81"/>
      <c r="E95" s="81"/>
      <c r="F95" s="81"/>
      <c r="G95" s="81"/>
      <c r="H95" s="81"/>
      <c r="I95" s="2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</row>
    <row r="96" ht="17.25" customHeight="1">
      <c r="A96" s="24"/>
      <c r="B96" s="24"/>
      <c r="C96" s="24"/>
      <c r="D96" s="81"/>
      <c r="E96" s="81"/>
      <c r="F96" s="81"/>
      <c r="G96" s="81"/>
      <c r="H96" s="81"/>
      <c r="I96" s="2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</row>
    <row r="97" ht="17.25" customHeight="1">
      <c r="A97" s="24"/>
      <c r="B97" s="24"/>
      <c r="C97" s="24"/>
      <c r="D97" s="81"/>
      <c r="E97" s="81"/>
      <c r="F97" s="81"/>
      <c r="G97" s="81"/>
      <c r="H97" s="81"/>
      <c r="I97" s="2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</row>
    <row r="98" ht="17.25" customHeight="1">
      <c r="A98" s="24"/>
      <c r="B98" s="24"/>
      <c r="C98" s="24"/>
      <c r="D98" s="81"/>
      <c r="E98" s="81"/>
      <c r="F98" s="81"/>
      <c r="G98" s="81"/>
      <c r="H98" s="81"/>
      <c r="I98" s="2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</row>
    <row r="99" ht="17.25" customHeight="1">
      <c r="A99" s="24"/>
      <c r="B99" s="24"/>
      <c r="C99" s="24"/>
      <c r="D99" s="81"/>
      <c r="E99" s="81"/>
      <c r="F99" s="81"/>
      <c r="G99" s="81"/>
      <c r="H99" s="81"/>
      <c r="I99" s="2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</row>
    <row r="100" ht="17.25" customHeight="1">
      <c r="A100" s="24"/>
      <c r="B100" s="24"/>
      <c r="C100" s="24"/>
      <c r="D100" s="81"/>
      <c r="E100" s="81"/>
      <c r="F100" s="81"/>
      <c r="G100" s="81"/>
      <c r="H100" s="81"/>
      <c r="I100" s="2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</row>
    <row r="101" ht="17.25" customHeight="1">
      <c r="A101" s="24"/>
      <c r="B101" s="24"/>
      <c r="C101" s="24"/>
      <c r="D101" s="81"/>
      <c r="E101" s="81"/>
      <c r="F101" s="81"/>
      <c r="G101" s="81"/>
      <c r="H101" s="81"/>
      <c r="I101" s="2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</row>
    <row r="102" ht="17.25" customHeight="1">
      <c r="A102" s="24"/>
      <c r="B102" s="24"/>
      <c r="C102" s="24"/>
      <c r="D102" s="81"/>
      <c r="E102" s="81"/>
      <c r="F102" s="81"/>
      <c r="G102" s="81"/>
      <c r="H102" s="81"/>
      <c r="I102" s="2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</row>
    <row r="103" ht="17.25" customHeight="1">
      <c r="A103" s="24"/>
      <c r="B103" s="24"/>
      <c r="C103" s="24"/>
      <c r="D103" s="81"/>
      <c r="E103" s="81"/>
      <c r="F103" s="81"/>
      <c r="G103" s="81"/>
      <c r="H103" s="81"/>
      <c r="I103" s="2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</row>
    <row r="104" ht="17.25" customHeight="1">
      <c r="A104" s="24"/>
      <c r="B104" s="24"/>
      <c r="C104" s="24"/>
      <c r="D104" s="81"/>
      <c r="E104" s="81"/>
      <c r="F104" s="81"/>
      <c r="G104" s="81"/>
      <c r="H104" s="81"/>
      <c r="I104" s="2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</row>
    <row r="105" ht="17.25" customHeight="1">
      <c r="A105" s="24"/>
      <c r="B105" s="24"/>
      <c r="C105" s="24"/>
      <c r="D105" s="81"/>
      <c r="E105" s="81"/>
      <c r="F105" s="81"/>
      <c r="G105" s="81"/>
      <c r="H105" s="81"/>
      <c r="I105" s="2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</row>
    <row r="106" ht="17.25" customHeight="1">
      <c r="A106" s="24"/>
      <c r="B106" s="24"/>
      <c r="C106" s="24"/>
      <c r="D106" s="81"/>
      <c r="E106" s="81"/>
      <c r="F106" s="81"/>
      <c r="G106" s="81"/>
      <c r="H106" s="81"/>
      <c r="I106" s="2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</row>
    <row r="107" ht="17.25" customHeight="1">
      <c r="A107" s="24"/>
      <c r="B107" s="24"/>
      <c r="C107" s="24"/>
      <c r="D107" s="81"/>
      <c r="E107" s="81"/>
      <c r="F107" s="81"/>
      <c r="G107" s="81"/>
      <c r="H107" s="81"/>
      <c r="I107" s="2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</row>
    <row r="108" ht="17.25" customHeight="1">
      <c r="A108" s="24"/>
      <c r="B108" s="24"/>
      <c r="C108" s="24"/>
      <c r="D108" s="81"/>
      <c r="E108" s="81"/>
      <c r="F108" s="81"/>
      <c r="G108" s="81"/>
      <c r="H108" s="81"/>
      <c r="I108" s="2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</row>
    <row r="109" ht="17.25" customHeight="1">
      <c r="A109" s="24"/>
      <c r="B109" s="24"/>
      <c r="C109" s="24"/>
      <c r="D109" s="81"/>
      <c r="E109" s="81"/>
      <c r="F109" s="81"/>
      <c r="G109" s="81"/>
      <c r="H109" s="81"/>
      <c r="I109" s="2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</row>
    <row r="110" ht="17.25" customHeight="1">
      <c r="A110" s="24"/>
      <c r="B110" s="24"/>
      <c r="C110" s="24"/>
      <c r="D110" s="81"/>
      <c r="E110" s="81"/>
      <c r="F110" s="81"/>
      <c r="G110" s="81"/>
      <c r="H110" s="81"/>
      <c r="I110" s="2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</row>
    <row r="111" ht="17.25" customHeight="1">
      <c r="A111" s="24"/>
      <c r="B111" s="24"/>
      <c r="C111" s="24"/>
      <c r="D111" s="81"/>
      <c r="E111" s="81"/>
      <c r="F111" s="81"/>
      <c r="G111" s="81"/>
      <c r="H111" s="81"/>
      <c r="I111" s="2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</row>
    <row r="112" ht="17.25" customHeight="1">
      <c r="A112" s="24"/>
      <c r="B112" s="24"/>
      <c r="C112" s="24"/>
      <c r="D112" s="81"/>
      <c r="E112" s="81"/>
      <c r="F112" s="81"/>
      <c r="G112" s="81"/>
      <c r="H112" s="81"/>
      <c r="I112" s="2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</row>
    <row r="113" ht="17.25" customHeight="1">
      <c r="A113" s="24"/>
      <c r="B113" s="24"/>
      <c r="C113" s="24"/>
      <c r="D113" s="81"/>
      <c r="E113" s="81"/>
      <c r="F113" s="81"/>
      <c r="G113" s="81"/>
      <c r="H113" s="81"/>
      <c r="I113" s="2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</row>
    <row r="114" ht="17.25" customHeight="1">
      <c r="A114" s="24"/>
      <c r="B114" s="24"/>
      <c r="C114" s="24"/>
      <c r="D114" s="81"/>
      <c r="E114" s="81"/>
      <c r="F114" s="81"/>
      <c r="G114" s="81"/>
      <c r="H114" s="81"/>
      <c r="I114" s="2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</row>
    <row r="115" ht="17.25" customHeight="1">
      <c r="A115" s="24"/>
      <c r="B115" s="24"/>
      <c r="C115" s="24"/>
      <c r="D115" s="81"/>
      <c r="E115" s="81"/>
      <c r="F115" s="81"/>
      <c r="G115" s="81"/>
      <c r="H115" s="81"/>
      <c r="I115" s="2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</row>
    <row r="116" ht="17.25" customHeight="1">
      <c r="A116" s="24"/>
      <c r="B116" s="24"/>
      <c r="C116" s="24"/>
      <c r="D116" s="81"/>
      <c r="E116" s="81"/>
      <c r="F116" s="81"/>
      <c r="G116" s="81"/>
      <c r="H116" s="81"/>
      <c r="I116" s="2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</row>
    <row r="117" ht="17.25" customHeight="1">
      <c r="A117" s="24"/>
      <c r="B117" s="24"/>
      <c r="C117" s="24"/>
      <c r="D117" s="81"/>
      <c r="E117" s="81"/>
      <c r="F117" s="81"/>
      <c r="G117" s="81"/>
      <c r="H117" s="81"/>
      <c r="I117" s="2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</row>
    <row r="118" ht="17.25" customHeight="1">
      <c r="A118" s="24"/>
      <c r="B118" s="24"/>
      <c r="C118" s="24"/>
      <c r="D118" s="81"/>
      <c r="E118" s="81"/>
      <c r="F118" s="81"/>
      <c r="G118" s="81"/>
      <c r="H118" s="81"/>
      <c r="I118" s="2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</row>
    <row r="119" ht="17.25" customHeight="1">
      <c r="A119" s="24"/>
      <c r="B119" s="24"/>
      <c r="C119" s="24"/>
      <c r="D119" s="81"/>
      <c r="E119" s="81"/>
      <c r="F119" s="81"/>
      <c r="G119" s="81"/>
      <c r="H119" s="81"/>
      <c r="I119" s="2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</row>
    <row r="120" ht="17.25" customHeight="1">
      <c r="A120" s="24"/>
      <c r="B120" s="24"/>
      <c r="C120" s="24"/>
      <c r="D120" s="81"/>
      <c r="E120" s="81"/>
      <c r="F120" s="81"/>
      <c r="G120" s="81"/>
      <c r="H120" s="81"/>
      <c r="I120" s="2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</row>
    <row r="121" ht="17.25" customHeight="1">
      <c r="A121" s="24"/>
      <c r="B121" s="24"/>
      <c r="C121" s="24"/>
      <c r="D121" s="81"/>
      <c r="E121" s="81"/>
      <c r="F121" s="81"/>
      <c r="G121" s="81"/>
      <c r="H121" s="81"/>
      <c r="I121" s="2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</row>
    <row r="122" ht="17.25" customHeight="1">
      <c r="A122" s="24"/>
      <c r="B122" s="24"/>
      <c r="C122" s="24"/>
      <c r="D122" s="81"/>
      <c r="E122" s="81"/>
      <c r="F122" s="81"/>
      <c r="G122" s="81"/>
      <c r="H122" s="81"/>
      <c r="I122" s="2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</row>
    <row r="123" ht="17.25" customHeight="1">
      <c r="A123" s="24"/>
      <c r="B123" s="24"/>
      <c r="C123" s="24"/>
      <c r="D123" s="81"/>
      <c r="E123" s="81"/>
      <c r="F123" s="81"/>
      <c r="G123" s="81"/>
      <c r="H123" s="81"/>
      <c r="I123" s="2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</row>
    <row r="124" ht="17.25" customHeight="1">
      <c r="A124" s="24"/>
      <c r="B124" s="24"/>
      <c r="C124" s="24"/>
      <c r="D124" s="81"/>
      <c r="E124" s="81"/>
      <c r="F124" s="81"/>
      <c r="G124" s="81"/>
      <c r="H124" s="81"/>
      <c r="I124" s="2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</row>
    <row r="125" ht="17.25" customHeight="1">
      <c r="A125" s="24"/>
      <c r="B125" s="24"/>
      <c r="C125" s="24"/>
      <c r="D125" s="81"/>
      <c r="E125" s="81"/>
      <c r="F125" s="81"/>
      <c r="G125" s="81"/>
      <c r="H125" s="81"/>
      <c r="I125" s="2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</row>
    <row r="126" ht="17.25" customHeight="1">
      <c r="A126" s="24"/>
      <c r="B126" s="24"/>
      <c r="C126" s="24"/>
      <c r="D126" s="81"/>
      <c r="E126" s="81"/>
      <c r="F126" s="81"/>
      <c r="G126" s="81"/>
      <c r="H126" s="81"/>
      <c r="I126" s="2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</row>
    <row r="127" ht="17.25" customHeight="1">
      <c r="A127" s="24"/>
      <c r="B127" s="24"/>
      <c r="C127" s="24"/>
      <c r="D127" s="81"/>
      <c r="E127" s="81"/>
      <c r="F127" s="81"/>
      <c r="G127" s="81"/>
      <c r="H127" s="81"/>
      <c r="I127" s="2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</row>
    <row r="128" ht="17.25" customHeight="1">
      <c r="A128" s="24"/>
      <c r="B128" s="24"/>
      <c r="C128" s="24"/>
      <c r="D128" s="81"/>
      <c r="E128" s="81"/>
      <c r="F128" s="81"/>
      <c r="G128" s="81"/>
      <c r="H128" s="81"/>
      <c r="I128" s="2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</row>
    <row r="129" ht="17.25" customHeight="1">
      <c r="A129" s="24"/>
      <c r="B129" s="24"/>
      <c r="C129" s="24"/>
      <c r="D129" s="81"/>
      <c r="E129" s="81"/>
      <c r="F129" s="81"/>
      <c r="G129" s="81"/>
      <c r="H129" s="81"/>
      <c r="I129" s="2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</row>
    <row r="130" ht="17.25" customHeight="1">
      <c r="A130" s="24"/>
      <c r="B130" s="24"/>
      <c r="C130" s="24"/>
      <c r="D130" s="81"/>
      <c r="E130" s="81"/>
      <c r="F130" s="81"/>
      <c r="G130" s="81"/>
      <c r="H130" s="81"/>
      <c r="I130" s="2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</row>
    <row r="131" ht="17.25" customHeight="1">
      <c r="A131" s="24"/>
      <c r="B131" s="24"/>
      <c r="C131" s="24"/>
      <c r="D131" s="81"/>
      <c r="E131" s="81"/>
      <c r="F131" s="81"/>
      <c r="G131" s="81"/>
      <c r="H131" s="81"/>
      <c r="I131" s="2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</row>
    <row r="132" ht="17.25" customHeight="1">
      <c r="A132" s="24"/>
      <c r="B132" s="24"/>
      <c r="C132" s="24"/>
      <c r="D132" s="81"/>
      <c r="E132" s="81"/>
      <c r="F132" s="81"/>
      <c r="G132" s="81"/>
      <c r="H132" s="81"/>
      <c r="I132" s="2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</row>
    <row r="133" ht="17.25" customHeight="1">
      <c r="A133" s="24"/>
      <c r="B133" s="24"/>
      <c r="C133" s="24"/>
      <c r="D133" s="81"/>
      <c r="E133" s="81"/>
      <c r="F133" s="81"/>
      <c r="G133" s="81"/>
      <c r="H133" s="81"/>
      <c r="I133" s="2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</row>
    <row r="134" ht="17.25" customHeight="1">
      <c r="A134" s="24"/>
      <c r="B134" s="24"/>
      <c r="C134" s="24"/>
      <c r="D134" s="81"/>
      <c r="E134" s="81"/>
      <c r="F134" s="81"/>
      <c r="G134" s="81"/>
      <c r="H134" s="81"/>
      <c r="I134" s="2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</row>
    <row r="135" ht="17.25" customHeight="1">
      <c r="A135" s="24"/>
      <c r="B135" s="24"/>
      <c r="C135" s="24"/>
      <c r="D135" s="81"/>
      <c r="E135" s="81"/>
      <c r="F135" s="81"/>
      <c r="G135" s="81"/>
      <c r="H135" s="81"/>
      <c r="I135" s="2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</row>
    <row r="136" ht="17.25" customHeight="1">
      <c r="A136" s="24"/>
      <c r="B136" s="24"/>
      <c r="C136" s="24"/>
      <c r="D136" s="81"/>
      <c r="E136" s="81"/>
      <c r="F136" s="81"/>
      <c r="G136" s="81"/>
      <c r="H136" s="81"/>
      <c r="I136" s="2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</row>
    <row r="137" ht="17.25" customHeight="1">
      <c r="A137" s="24"/>
      <c r="B137" s="24"/>
      <c r="C137" s="24"/>
      <c r="D137" s="81"/>
      <c r="E137" s="81"/>
      <c r="F137" s="81"/>
      <c r="G137" s="81"/>
      <c r="H137" s="81"/>
      <c r="I137" s="2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</row>
    <row r="138" ht="17.25" customHeight="1">
      <c r="A138" s="24"/>
      <c r="B138" s="24"/>
      <c r="C138" s="24"/>
      <c r="D138" s="81"/>
      <c r="E138" s="81"/>
      <c r="F138" s="81"/>
      <c r="G138" s="81"/>
      <c r="H138" s="81"/>
      <c r="I138" s="2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</row>
    <row r="139" ht="17.25" customHeight="1">
      <c r="A139" s="24"/>
      <c r="B139" s="24"/>
      <c r="C139" s="24"/>
      <c r="D139" s="81"/>
      <c r="E139" s="81"/>
      <c r="F139" s="81"/>
      <c r="G139" s="81"/>
      <c r="H139" s="81"/>
      <c r="I139" s="2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</row>
    <row r="140" ht="17.25" customHeight="1">
      <c r="A140" s="24"/>
      <c r="B140" s="24"/>
      <c r="C140" s="24"/>
      <c r="D140" s="81"/>
      <c r="E140" s="81"/>
      <c r="F140" s="81"/>
      <c r="G140" s="81"/>
      <c r="H140" s="81"/>
      <c r="I140" s="2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</row>
    <row r="141" ht="17.25" customHeight="1">
      <c r="A141" s="24"/>
      <c r="B141" s="24"/>
      <c r="C141" s="24"/>
      <c r="D141" s="81"/>
      <c r="E141" s="81"/>
      <c r="F141" s="81"/>
      <c r="G141" s="81"/>
      <c r="H141" s="81"/>
      <c r="I141" s="2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</row>
    <row r="142" ht="17.25" customHeight="1">
      <c r="A142" s="24"/>
      <c r="B142" s="24"/>
      <c r="C142" s="24"/>
      <c r="D142" s="81"/>
      <c r="E142" s="81"/>
      <c r="F142" s="81"/>
      <c r="G142" s="81"/>
      <c r="H142" s="81"/>
      <c r="I142" s="2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</row>
    <row r="143" ht="17.25" customHeight="1">
      <c r="A143" s="24"/>
      <c r="B143" s="24"/>
      <c r="C143" s="24"/>
      <c r="D143" s="81"/>
      <c r="E143" s="81"/>
      <c r="F143" s="81"/>
      <c r="G143" s="81"/>
      <c r="H143" s="81"/>
      <c r="I143" s="2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</row>
    <row r="144" ht="17.25" customHeight="1">
      <c r="A144" s="24"/>
      <c r="B144" s="24"/>
      <c r="C144" s="24"/>
      <c r="D144" s="81"/>
      <c r="E144" s="81"/>
      <c r="F144" s="81"/>
      <c r="G144" s="81"/>
      <c r="H144" s="81"/>
      <c r="I144" s="2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</row>
    <row r="145" ht="17.25" customHeight="1">
      <c r="A145" s="24"/>
      <c r="B145" s="24"/>
      <c r="C145" s="24"/>
      <c r="D145" s="81"/>
      <c r="E145" s="81"/>
      <c r="F145" s="81"/>
      <c r="G145" s="81"/>
      <c r="H145" s="81"/>
      <c r="I145" s="2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</row>
    <row r="146" ht="17.25" customHeight="1">
      <c r="A146" s="24"/>
      <c r="B146" s="24"/>
      <c r="C146" s="24"/>
      <c r="D146" s="81"/>
      <c r="E146" s="81"/>
      <c r="F146" s="81"/>
      <c r="G146" s="81"/>
      <c r="H146" s="81"/>
      <c r="I146" s="2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</row>
    <row r="147" ht="17.25" customHeight="1">
      <c r="A147" s="24"/>
      <c r="B147" s="24"/>
      <c r="C147" s="24"/>
      <c r="D147" s="81"/>
      <c r="E147" s="81"/>
      <c r="F147" s="81"/>
      <c r="G147" s="81"/>
      <c r="H147" s="81"/>
      <c r="I147" s="2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</row>
    <row r="148" ht="17.25" customHeight="1">
      <c r="A148" s="24"/>
      <c r="B148" s="24"/>
      <c r="C148" s="24"/>
      <c r="D148" s="81"/>
      <c r="E148" s="81"/>
      <c r="F148" s="81"/>
      <c r="G148" s="81"/>
      <c r="H148" s="81"/>
      <c r="I148" s="2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</row>
    <row r="149" ht="17.25" customHeight="1">
      <c r="A149" s="24"/>
      <c r="B149" s="24"/>
      <c r="C149" s="24"/>
      <c r="D149" s="81"/>
      <c r="E149" s="81"/>
      <c r="F149" s="81"/>
      <c r="G149" s="81"/>
      <c r="H149" s="81"/>
      <c r="I149" s="2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</row>
    <row r="150" ht="17.25" customHeight="1">
      <c r="A150" s="24"/>
      <c r="B150" s="24"/>
      <c r="C150" s="24"/>
      <c r="D150" s="81"/>
      <c r="E150" s="81"/>
      <c r="F150" s="81"/>
      <c r="G150" s="81"/>
      <c r="H150" s="81"/>
      <c r="I150" s="2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</row>
    <row r="151" ht="17.25" customHeight="1">
      <c r="A151" s="24"/>
      <c r="B151" s="24"/>
      <c r="C151" s="24"/>
      <c r="D151" s="81"/>
      <c r="E151" s="81"/>
      <c r="F151" s="81"/>
      <c r="G151" s="81"/>
      <c r="H151" s="81"/>
      <c r="I151" s="2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</row>
    <row r="152" ht="17.25" customHeight="1">
      <c r="A152" s="24"/>
      <c r="B152" s="24"/>
      <c r="C152" s="24"/>
      <c r="D152" s="81"/>
      <c r="E152" s="81"/>
      <c r="F152" s="81"/>
      <c r="G152" s="81"/>
      <c r="H152" s="81"/>
      <c r="I152" s="2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</row>
    <row r="153" ht="17.25" customHeight="1">
      <c r="A153" s="24"/>
      <c r="B153" s="24"/>
      <c r="C153" s="24"/>
      <c r="D153" s="81"/>
      <c r="E153" s="81"/>
      <c r="F153" s="81"/>
      <c r="G153" s="81"/>
      <c r="H153" s="81"/>
      <c r="I153" s="2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</row>
    <row r="154" ht="17.25" customHeight="1">
      <c r="A154" s="24"/>
      <c r="B154" s="24"/>
      <c r="C154" s="24"/>
      <c r="D154" s="81"/>
      <c r="E154" s="81"/>
      <c r="F154" s="81"/>
      <c r="G154" s="81"/>
      <c r="H154" s="81"/>
      <c r="I154" s="2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</row>
    <row r="155" ht="17.25" customHeight="1">
      <c r="A155" s="24"/>
      <c r="B155" s="24"/>
      <c r="C155" s="24"/>
      <c r="D155" s="81"/>
      <c r="E155" s="81"/>
      <c r="F155" s="81"/>
      <c r="G155" s="81"/>
      <c r="H155" s="81"/>
      <c r="I155" s="2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</row>
    <row r="156" ht="17.25" customHeight="1">
      <c r="A156" s="24"/>
      <c r="B156" s="24"/>
      <c r="C156" s="24"/>
      <c r="D156" s="81"/>
      <c r="E156" s="81"/>
      <c r="F156" s="81"/>
      <c r="G156" s="81"/>
      <c r="H156" s="81"/>
      <c r="I156" s="2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</row>
    <row r="157" ht="17.25" customHeight="1">
      <c r="A157" s="24"/>
      <c r="B157" s="24"/>
      <c r="C157" s="24"/>
      <c r="D157" s="81"/>
      <c r="E157" s="81"/>
      <c r="F157" s="81"/>
      <c r="G157" s="81"/>
      <c r="H157" s="81"/>
      <c r="I157" s="2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</row>
    <row r="158" ht="17.25" customHeight="1">
      <c r="A158" s="24"/>
      <c r="B158" s="24"/>
      <c r="C158" s="24"/>
      <c r="D158" s="81"/>
      <c r="E158" s="81"/>
      <c r="F158" s="81"/>
      <c r="G158" s="81"/>
      <c r="H158" s="81"/>
      <c r="I158" s="2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</row>
    <row r="159" ht="17.25" customHeight="1">
      <c r="A159" s="24"/>
      <c r="B159" s="24"/>
      <c r="C159" s="24"/>
      <c r="D159" s="81"/>
      <c r="E159" s="81"/>
      <c r="F159" s="81"/>
      <c r="G159" s="81"/>
      <c r="H159" s="81"/>
      <c r="I159" s="2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</row>
    <row r="160" ht="17.25" customHeight="1">
      <c r="A160" s="24"/>
      <c r="B160" s="24"/>
      <c r="C160" s="24"/>
      <c r="D160" s="81"/>
      <c r="E160" s="81"/>
      <c r="F160" s="81"/>
      <c r="G160" s="81"/>
      <c r="H160" s="81"/>
      <c r="I160" s="2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</row>
    <row r="161" ht="17.25" customHeight="1">
      <c r="A161" s="24"/>
      <c r="B161" s="24"/>
      <c r="C161" s="24"/>
      <c r="D161" s="81"/>
      <c r="E161" s="81"/>
      <c r="F161" s="81"/>
      <c r="G161" s="81"/>
      <c r="H161" s="81"/>
      <c r="I161" s="2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</row>
    <row r="162" ht="17.25" customHeight="1">
      <c r="A162" s="24"/>
      <c r="B162" s="24"/>
      <c r="C162" s="24"/>
      <c r="D162" s="81"/>
      <c r="E162" s="81"/>
      <c r="F162" s="81"/>
      <c r="G162" s="81"/>
      <c r="H162" s="81"/>
      <c r="I162" s="2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</row>
    <row r="163" ht="17.25" customHeight="1">
      <c r="A163" s="24"/>
      <c r="B163" s="24"/>
      <c r="C163" s="24"/>
      <c r="D163" s="81"/>
      <c r="E163" s="81"/>
      <c r="F163" s="81"/>
      <c r="G163" s="81"/>
      <c r="H163" s="81"/>
      <c r="I163" s="2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</row>
    <row r="164" ht="17.25" customHeight="1">
      <c r="A164" s="24"/>
      <c r="B164" s="24"/>
      <c r="C164" s="24"/>
      <c r="D164" s="81"/>
      <c r="E164" s="81"/>
      <c r="F164" s="81"/>
      <c r="G164" s="81"/>
      <c r="H164" s="81"/>
      <c r="I164" s="2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</row>
    <row r="165" ht="17.25" customHeight="1">
      <c r="A165" s="24"/>
      <c r="B165" s="24"/>
      <c r="C165" s="24"/>
      <c r="D165" s="81"/>
      <c r="E165" s="81"/>
      <c r="F165" s="81"/>
      <c r="G165" s="81"/>
      <c r="H165" s="81"/>
      <c r="I165" s="2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</row>
    <row r="166" ht="17.25" customHeight="1">
      <c r="A166" s="24"/>
      <c r="B166" s="24"/>
      <c r="C166" s="24"/>
      <c r="D166" s="81"/>
      <c r="E166" s="81"/>
      <c r="F166" s="81"/>
      <c r="G166" s="81"/>
      <c r="H166" s="81"/>
      <c r="I166" s="2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</row>
    <row r="167" ht="17.25" customHeight="1">
      <c r="A167" s="24"/>
      <c r="B167" s="24"/>
      <c r="C167" s="24"/>
      <c r="D167" s="81"/>
      <c r="E167" s="81"/>
      <c r="F167" s="81"/>
      <c r="G167" s="81"/>
      <c r="H167" s="81"/>
      <c r="I167" s="2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</row>
    <row r="168" ht="17.25" customHeight="1">
      <c r="A168" s="24"/>
      <c r="B168" s="24"/>
      <c r="C168" s="24"/>
      <c r="D168" s="81"/>
      <c r="E168" s="81"/>
      <c r="F168" s="81"/>
      <c r="G168" s="81"/>
      <c r="H168" s="81"/>
      <c r="I168" s="2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</row>
    <row r="169" ht="17.25" customHeight="1">
      <c r="A169" s="24"/>
      <c r="B169" s="24"/>
      <c r="C169" s="24"/>
      <c r="D169" s="81"/>
      <c r="E169" s="81"/>
      <c r="F169" s="81"/>
      <c r="G169" s="81"/>
      <c r="H169" s="81"/>
      <c r="I169" s="2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</row>
    <row r="170" ht="17.25" customHeight="1">
      <c r="A170" s="24"/>
      <c r="B170" s="24"/>
      <c r="C170" s="24"/>
      <c r="D170" s="81"/>
      <c r="E170" s="81"/>
      <c r="F170" s="81"/>
      <c r="G170" s="81"/>
      <c r="H170" s="81"/>
      <c r="I170" s="2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</row>
    <row r="171" ht="17.25" customHeight="1">
      <c r="A171" s="24"/>
      <c r="B171" s="24"/>
      <c r="C171" s="24"/>
      <c r="D171" s="81"/>
      <c r="E171" s="81"/>
      <c r="F171" s="81"/>
      <c r="G171" s="81"/>
      <c r="H171" s="81"/>
      <c r="I171" s="2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</row>
    <row r="172" ht="17.25" customHeight="1">
      <c r="A172" s="24"/>
      <c r="B172" s="24"/>
      <c r="C172" s="24"/>
      <c r="D172" s="81"/>
      <c r="E172" s="81"/>
      <c r="F172" s="81"/>
      <c r="G172" s="81"/>
      <c r="H172" s="81"/>
      <c r="I172" s="2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</row>
    <row r="173" ht="17.25" customHeight="1">
      <c r="A173" s="24"/>
      <c r="B173" s="24"/>
      <c r="C173" s="24"/>
      <c r="D173" s="81"/>
      <c r="E173" s="81"/>
      <c r="F173" s="81"/>
      <c r="G173" s="81"/>
      <c r="H173" s="81"/>
      <c r="I173" s="2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</row>
    <row r="174" ht="17.25" customHeight="1">
      <c r="A174" s="24"/>
      <c r="B174" s="24"/>
      <c r="C174" s="24"/>
      <c r="D174" s="81"/>
      <c r="E174" s="81"/>
      <c r="F174" s="81"/>
      <c r="G174" s="81"/>
      <c r="H174" s="81"/>
      <c r="I174" s="2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</row>
    <row r="175" ht="17.25" customHeight="1">
      <c r="A175" s="24"/>
      <c r="B175" s="24"/>
      <c r="C175" s="24"/>
      <c r="D175" s="81"/>
      <c r="E175" s="81"/>
      <c r="F175" s="81"/>
      <c r="G175" s="81"/>
      <c r="H175" s="81"/>
      <c r="I175" s="2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</row>
    <row r="176" ht="17.25" customHeight="1">
      <c r="A176" s="24"/>
      <c r="B176" s="24"/>
      <c r="C176" s="24"/>
      <c r="D176" s="81"/>
      <c r="E176" s="81"/>
      <c r="F176" s="81"/>
      <c r="G176" s="81"/>
      <c r="H176" s="81"/>
      <c r="I176" s="2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</row>
    <row r="177" ht="17.25" customHeight="1">
      <c r="A177" s="24"/>
      <c r="B177" s="24"/>
      <c r="C177" s="24"/>
      <c r="D177" s="81"/>
      <c r="E177" s="81"/>
      <c r="F177" s="81"/>
      <c r="G177" s="81"/>
      <c r="H177" s="81"/>
      <c r="I177" s="2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</row>
    <row r="178" ht="17.25" customHeight="1">
      <c r="A178" s="24"/>
      <c r="B178" s="24"/>
      <c r="C178" s="24"/>
      <c r="D178" s="81"/>
      <c r="E178" s="81"/>
      <c r="F178" s="81"/>
      <c r="G178" s="81"/>
      <c r="H178" s="81"/>
      <c r="I178" s="2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</row>
    <row r="179" ht="17.25" customHeight="1">
      <c r="A179" s="24"/>
      <c r="B179" s="24"/>
      <c r="C179" s="24"/>
      <c r="D179" s="81"/>
      <c r="E179" s="81"/>
      <c r="F179" s="81"/>
      <c r="G179" s="81"/>
      <c r="H179" s="81"/>
      <c r="I179" s="2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</row>
    <row r="180" ht="17.25" customHeight="1">
      <c r="A180" s="24"/>
      <c r="B180" s="24"/>
      <c r="C180" s="24"/>
      <c r="D180" s="81"/>
      <c r="E180" s="81"/>
      <c r="F180" s="81"/>
      <c r="G180" s="81"/>
      <c r="H180" s="81"/>
      <c r="I180" s="2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</row>
    <row r="181" ht="17.25" customHeight="1">
      <c r="A181" s="24"/>
      <c r="B181" s="24"/>
      <c r="C181" s="24"/>
      <c r="D181" s="81"/>
      <c r="E181" s="81"/>
      <c r="F181" s="81"/>
      <c r="G181" s="81"/>
      <c r="H181" s="81"/>
      <c r="I181" s="2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</row>
    <row r="182" ht="17.25" customHeight="1">
      <c r="A182" s="24"/>
      <c r="B182" s="24"/>
      <c r="C182" s="24"/>
      <c r="D182" s="81"/>
      <c r="E182" s="81"/>
      <c r="F182" s="81"/>
      <c r="G182" s="81"/>
      <c r="H182" s="81"/>
      <c r="I182" s="2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</row>
    <row r="183" ht="17.25" customHeight="1">
      <c r="A183" s="24"/>
      <c r="B183" s="24"/>
      <c r="C183" s="24"/>
      <c r="D183" s="81"/>
      <c r="E183" s="81"/>
      <c r="F183" s="81"/>
      <c r="G183" s="81"/>
      <c r="H183" s="81"/>
      <c r="I183" s="2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</row>
    <row r="184" ht="17.25" customHeight="1">
      <c r="A184" s="24"/>
      <c r="B184" s="24"/>
      <c r="C184" s="24"/>
      <c r="D184" s="81"/>
      <c r="E184" s="81"/>
      <c r="F184" s="81"/>
      <c r="G184" s="81"/>
      <c r="H184" s="81"/>
      <c r="I184" s="2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</row>
    <row r="185" ht="17.25" customHeight="1">
      <c r="A185" s="24"/>
      <c r="B185" s="24"/>
      <c r="C185" s="24"/>
      <c r="D185" s="81"/>
      <c r="E185" s="81"/>
      <c r="F185" s="81"/>
      <c r="G185" s="81"/>
      <c r="H185" s="81"/>
      <c r="I185" s="2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</row>
    <row r="186" ht="17.25" customHeight="1">
      <c r="A186" s="24"/>
      <c r="B186" s="24"/>
      <c r="C186" s="24"/>
      <c r="D186" s="81"/>
      <c r="E186" s="81"/>
      <c r="F186" s="81"/>
      <c r="G186" s="81"/>
      <c r="H186" s="81"/>
      <c r="I186" s="2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</row>
    <row r="187" ht="17.25" customHeight="1">
      <c r="A187" s="24"/>
      <c r="B187" s="24"/>
      <c r="C187" s="24"/>
      <c r="D187" s="81"/>
      <c r="E187" s="81"/>
      <c r="F187" s="81"/>
      <c r="G187" s="81"/>
      <c r="H187" s="81"/>
      <c r="I187" s="2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</row>
    <row r="188" ht="17.25" customHeight="1">
      <c r="A188" s="24"/>
      <c r="B188" s="24"/>
      <c r="C188" s="24"/>
      <c r="D188" s="81"/>
      <c r="E188" s="81"/>
      <c r="F188" s="81"/>
      <c r="G188" s="81"/>
      <c r="H188" s="81"/>
      <c r="I188" s="2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</row>
    <row r="189" ht="17.25" customHeight="1">
      <c r="A189" s="24"/>
      <c r="B189" s="24"/>
      <c r="C189" s="24"/>
      <c r="D189" s="81"/>
      <c r="E189" s="81"/>
      <c r="F189" s="81"/>
      <c r="G189" s="81"/>
      <c r="H189" s="81"/>
      <c r="I189" s="2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</row>
    <row r="190" ht="17.25" customHeight="1">
      <c r="A190" s="24"/>
      <c r="B190" s="24"/>
      <c r="C190" s="24"/>
      <c r="D190" s="81"/>
      <c r="E190" s="81"/>
      <c r="F190" s="81"/>
      <c r="G190" s="81"/>
      <c r="H190" s="81"/>
      <c r="I190" s="2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</row>
    <row r="191" ht="17.25" customHeight="1">
      <c r="A191" s="24"/>
      <c r="B191" s="24"/>
      <c r="C191" s="24"/>
      <c r="D191" s="81"/>
      <c r="E191" s="81"/>
      <c r="F191" s="81"/>
      <c r="G191" s="81"/>
      <c r="H191" s="81"/>
      <c r="I191" s="2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</row>
    <row r="192" ht="17.25" customHeight="1">
      <c r="A192" s="24"/>
      <c r="B192" s="24"/>
      <c r="C192" s="24"/>
      <c r="D192" s="81"/>
      <c r="E192" s="81"/>
      <c r="F192" s="81"/>
      <c r="G192" s="81"/>
      <c r="H192" s="81"/>
      <c r="I192" s="2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</row>
    <row r="193" ht="17.25" customHeight="1">
      <c r="A193" s="24"/>
      <c r="B193" s="24"/>
      <c r="C193" s="24"/>
      <c r="D193" s="81"/>
      <c r="E193" s="81"/>
      <c r="F193" s="81"/>
      <c r="G193" s="81"/>
      <c r="H193" s="81"/>
      <c r="I193" s="2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</row>
    <row r="194" ht="17.25" customHeight="1">
      <c r="A194" s="24"/>
      <c r="B194" s="24"/>
      <c r="C194" s="24"/>
      <c r="D194" s="81"/>
      <c r="E194" s="81"/>
      <c r="F194" s="81"/>
      <c r="G194" s="81"/>
      <c r="H194" s="81"/>
      <c r="I194" s="2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</row>
    <row r="195" ht="17.25" customHeight="1">
      <c r="A195" s="24"/>
      <c r="B195" s="24"/>
      <c r="C195" s="24"/>
      <c r="D195" s="81"/>
      <c r="E195" s="81"/>
      <c r="F195" s="81"/>
      <c r="G195" s="81"/>
      <c r="H195" s="81"/>
      <c r="I195" s="2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</row>
    <row r="196" ht="17.25" customHeight="1">
      <c r="A196" s="24"/>
      <c r="B196" s="24"/>
      <c r="C196" s="24"/>
      <c r="D196" s="81"/>
      <c r="E196" s="81"/>
      <c r="F196" s="81"/>
      <c r="G196" s="81"/>
      <c r="H196" s="81"/>
      <c r="I196" s="2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</row>
    <row r="197" ht="17.25" customHeight="1">
      <c r="A197" s="24"/>
      <c r="B197" s="24"/>
      <c r="C197" s="24"/>
      <c r="D197" s="81"/>
      <c r="E197" s="81"/>
      <c r="F197" s="81"/>
      <c r="G197" s="81"/>
      <c r="H197" s="81"/>
      <c r="I197" s="2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</row>
    <row r="198" ht="17.25" customHeight="1">
      <c r="A198" s="24"/>
      <c r="B198" s="24"/>
      <c r="C198" s="24"/>
      <c r="D198" s="81"/>
      <c r="E198" s="81"/>
      <c r="F198" s="81"/>
      <c r="G198" s="81"/>
      <c r="H198" s="81"/>
      <c r="I198" s="2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</row>
    <row r="199" ht="17.25" customHeight="1">
      <c r="A199" s="24"/>
      <c r="B199" s="24"/>
      <c r="C199" s="24"/>
      <c r="D199" s="81"/>
      <c r="E199" s="81"/>
      <c r="F199" s="81"/>
      <c r="G199" s="81"/>
      <c r="H199" s="81"/>
      <c r="I199" s="2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</row>
    <row r="200" ht="17.25" customHeight="1">
      <c r="A200" s="24"/>
      <c r="B200" s="24"/>
      <c r="C200" s="24"/>
      <c r="D200" s="81"/>
      <c r="E200" s="81"/>
      <c r="F200" s="81"/>
      <c r="G200" s="81"/>
      <c r="H200" s="81"/>
      <c r="I200" s="2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</row>
    <row r="201" ht="17.25" customHeight="1">
      <c r="A201" s="24"/>
      <c r="B201" s="24"/>
      <c r="C201" s="24"/>
      <c r="D201" s="81"/>
      <c r="E201" s="81"/>
      <c r="F201" s="81"/>
      <c r="G201" s="81"/>
      <c r="H201" s="81"/>
      <c r="I201" s="2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</row>
    <row r="202" ht="17.25" customHeight="1">
      <c r="A202" s="24"/>
      <c r="B202" s="24"/>
      <c r="C202" s="24"/>
      <c r="D202" s="81"/>
      <c r="E202" s="81"/>
      <c r="F202" s="81"/>
      <c r="G202" s="81"/>
      <c r="H202" s="81"/>
      <c r="I202" s="2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</row>
    <row r="203" ht="17.25" customHeight="1">
      <c r="A203" s="24"/>
      <c r="B203" s="24"/>
      <c r="C203" s="24"/>
      <c r="D203" s="81"/>
      <c r="E203" s="81"/>
      <c r="F203" s="81"/>
      <c r="G203" s="81"/>
      <c r="H203" s="81"/>
      <c r="I203" s="2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</row>
    <row r="204" ht="17.25" customHeight="1">
      <c r="A204" s="24"/>
      <c r="B204" s="24"/>
      <c r="C204" s="24"/>
      <c r="D204" s="81"/>
      <c r="E204" s="81"/>
      <c r="F204" s="81"/>
      <c r="G204" s="81"/>
      <c r="H204" s="81"/>
      <c r="I204" s="2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</row>
    <row r="205" ht="17.25" customHeight="1">
      <c r="A205" s="24"/>
      <c r="B205" s="24"/>
      <c r="C205" s="24"/>
      <c r="D205" s="81"/>
      <c r="E205" s="81"/>
      <c r="F205" s="81"/>
      <c r="G205" s="81"/>
      <c r="H205" s="81"/>
      <c r="I205" s="2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</row>
    <row r="206" ht="17.25" customHeight="1">
      <c r="A206" s="24"/>
      <c r="B206" s="24"/>
      <c r="C206" s="24"/>
      <c r="D206" s="81"/>
      <c r="E206" s="81"/>
      <c r="F206" s="81"/>
      <c r="G206" s="81"/>
      <c r="H206" s="81"/>
      <c r="I206" s="2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</row>
    <row r="207" ht="17.25" customHeight="1">
      <c r="A207" s="24"/>
      <c r="B207" s="24"/>
      <c r="C207" s="24"/>
      <c r="D207" s="81"/>
      <c r="E207" s="81"/>
      <c r="F207" s="81"/>
      <c r="G207" s="81"/>
      <c r="H207" s="81"/>
      <c r="I207" s="2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</row>
    <row r="208" ht="17.25" customHeight="1">
      <c r="A208" s="24"/>
      <c r="B208" s="24"/>
      <c r="C208" s="24"/>
      <c r="D208" s="81"/>
      <c r="E208" s="81"/>
      <c r="F208" s="81"/>
      <c r="G208" s="81"/>
      <c r="H208" s="81"/>
      <c r="I208" s="2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</row>
    <row r="209" ht="17.25" customHeight="1">
      <c r="A209" s="24"/>
      <c r="B209" s="24"/>
      <c r="C209" s="24"/>
      <c r="D209" s="81"/>
      <c r="E209" s="81"/>
      <c r="F209" s="81"/>
      <c r="G209" s="81"/>
      <c r="H209" s="81"/>
      <c r="I209" s="2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</row>
    <row r="210" ht="17.25" customHeight="1">
      <c r="A210" s="24"/>
      <c r="B210" s="24"/>
      <c r="C210" s="24"/>
      <c r="D210" s="81"/>
      <c r="E210" s="81"/>
      <c r="F210" s="81"/>
      <c r="G210" s="81"/>
      <c r="H210" s="81"/>
      <c r="I210" s="2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</row>
    <row r="211" ht="17.25" customHeight="1">
      <c r="A211" s="24"/>
      <c r="B211" s="24"/>
      <c r="C211" s="24"/>
      <c r="D211" s="81"/>
      <c r="E211" s="81"/>
      <c r="F211" s="81"/>
      <c r="G211" s="81"/>
      <c r="H211" s="81"/>
      <c r="I211" s="2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</row>
    <row r="212" ht="17.25" customHeight="1">
      <c r="A212" s="24"/>
      <c r="B212" s="24"/>
      <c r="C212" s="24"/>
      <c r="D212" s="81"/>
      <c r="E212" s="81"/>
      <c r="F212" s="81"/>
      <c r="G212" s="81"/>
      <c r="H212" s="81"/>
      <c r="I212" s="2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</row>
    <row r="213" ht="17.25" customHeight="1">
      <c r="A213" s="24"/>
      <c r="B213" s="24"/>
      <c r="C213" s="24"/>
      <c r="D213" s="81"/>
      <c r="E213" s="81"/>
      <c r="F213" s="81"/>
      <c r="G213" s="81"/>
      <c r="H213" s="81"/>
      <c r="I213" s="2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</row>
    <row r="214" ht="17.25" customHeight="1">
      <c r="A214" s="24"/>
      <c r="B214" s="24"/>
      <c r="C214" s="24"/>
      <c r="D214" s="81"/>
      <c r="E214" s="81"/>
      <c r="F214" s="81"/>
      <c r="G214" s="81"/>
      <c r="H214" s="81"/>
      <c r="I214" s="2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</row>
    <row r="215" ht="17.25" customHeight="1">
      <c r="A215" s="24"/>
      <c r="B215" s="24"/>
      <c r="C215" s="24"/>
      <c r="D215" s="81"/>
      <c r="E215" s="81"/>
      <c r="F215" s="81"/>
      <c r="G215" s="81"/>
      <c r="H215" s="81"/>
      <c r="I215" s="2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</row>
    <row r="216" ht="17.25" customHeight="1">
      <c r="A216" s="24"/>
      <c r="B216" s="24"/>
      <c r="C216" s="24"/>
      <c r="D216" s="81"/>
      <c r="E216" s="81"/>
      <c r="F216" s="81"/>
      <c r="G216" s="81"/>
      <c r="H216" s="81"/>
      <c r="I216" s="2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</row>
    <row r="217" ht="17.25" customHeight="1">
      <c r="A217" s="24"/>
      <c r="B217" s="24"/>
      <c r="C217" s="24"/>
      <c r="D217" s="81"/>
      <c r="E217" s="81"/>
      <c r="F217" s="81"/>
      <c r="G217" s="81"/>
      <c r="H217" s="81"/>
      <c r="I217" s="2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</row>
    <row r="218" ht="17.25" customHeight="1">
      <c r="A218" s="24"/>
      <c r="B218" s="24"/>
      <c r="C218" s="24"/>
      <c r="D218" s="81"/>
      <c r="E218" s="81"/>
      <c r="F218" s="81"/>
      <c r="G218" s="81"/>
      <c r="H218" s="81"/>
      <c r="I218" s="2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</row>
    <row r="219" ht="17.25" customHeight="1">
      <c r="A219" s="24"/>
      <c r="B219" s="24"/>
      <c r="C219" s="24"/>
      <c r="D219" s="81"/>
      <c r="E219" s="81"/>
      <c r="F219" s="81"/>
      <c r="G219" s="81"/>
      <c r="H219" s="81"/>
      <c r="I219" s="2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</row>
    <row r="220" ht="17.25" customHeight="1">
      <c r="A220" s="24"/>
      <c r="B220" s="24"/>
      <c r="C220" s="24"/>
      <c r="D220" s="81"/>
      <c r="E220" s="81"/>
      <c r="F220" s="81"/>
      <c r="G220" s="81"/>
      <c r="H220" s="81"/>
      <c r="I220" s="2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</row>
    <row r="221" ht="17.25" customHeight="1">
      <c r="A221" s="24"/>
      <c r="B221" s="24"/>
      <c r="C221" s="24"/>
      <c r="D221" s="81"/>
      <c r="E221" s="81"/>
      <c r="F221" s="81"/>
      <c r="G221" s="81"/>
      <c r="H221" s="81"/>
      <c r="I221" s="2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</row>
    <row r="222" ht="17.25" customHeight="1">
      <c r="A222" s="24"/>
      <c r="B222" s="24"/>
      <c r="C222" s="24"/>
      <c r="D222" s="81"/>
      <c r="E222" s="81"/>
      <c r="F222" s="81"/>
      <c r="G222" s="81"/>
      <c r="H222" s="81"/>
      <c r="I222" s="2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</row>
    <row r="223" ht="17.25" customHeight="1">
      <c r="A223" s="24"/>
      <c r="B223" s="24"/>
      <c r="C223" s="24"/>
      <c r="D223" s="81"/>
      <c r="E223" s="81"/>
      <c r="F223" s="81"/>
      <c r="G223" s="81"/>
      <c r="H223" s="81"/>
      <c r="I223" s="2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</row>
    <row r="224" ht="17.25" customHeight="1">
      <c r="A224" s="24"/>
      <c r="B224" s="24"/>
      <c r="C224" s="24"/>
      <c r="D224" s="81"/>
      <c r="E224" s="81"/>
      <c r="F224" s="81"/>
      <c r="G224" s="81"/>
      <c r="H224" s="81"/>
      <c r="I224" s="2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</row>
    <row r="225" ht="17.25" customHeight="1">
      <c r="A225" s="24"/>
      <c r="B225" s="24"/>
      <c r="C225" s="24"/>
      <c r="D225" s="81"/>
      <c r="E225" s="81"/>
      <c r="F225" s="81"/>
      <c r="G225" s="81"/>
      <c r="H225" s="81"/>
      <c r="I225" s="2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</row>
    <row r="226" ht="17.25" customHeight="1">
      <c r="A226" s="24"/>
      <c r="B226" s="24"/>
      <c r="C226" s="24"/>
      <c r="D226" s="81"/>
      <c r="E226" s="81"/>
      <c r="F226" s="81"/>
      <c r="G226" s="81"/>
      <c r="H226" s="81"/>
      <c r="I226" s="2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</row>
    <row r="227" ht="17.25" customHeight="1">
      <c r="A227" s="24"/>
      <c r="B227" s="24"/>
      <c r="C227" s="24"/>
      <c r="D227" s="81"/>
      <c r="E227" s="81"/>
      <c r="F227" s="81"/>
      <c r="G227" s="81"/>
      <c r="H227" s="81"/>
      <c r="I227" s="2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</row>
    <row r="228" ht="17.25" customHeight="1">
      <c r="A228" s="24"/>
      <c r="B228" s="24"/>
      <c r="C228" s="24"/>
      <c r="D228" s="81"/>
      <c r="E228" s="81"/>
      <c r="F228" s="81"/>
      <c r="G228" s="81"/>
      <c r="H228" s="81"/>
      <c r="I228" s="2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</row>
    <row r="229" ht="17.25" customHeight="1">
      <c r="A229" s="24"/>
      <c r="B229" s="24"/>
      <c r="C229" s="24"/>
      <c r="D229" s="81"/>
      <c r="E229" s="81"/>
      <c r="F229" s="81"/>
      <c r="G229" s="81"/>
      <c r="H229" s="81"/>
      <c r="I229" s="2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</row>
    <row r="230" ht="17.25" customHeight="1">
      <c r="A230" s="24"/>
      <c r="B230" s="24"/>
      <c r="C230" s="24"/>
      <c r="D230" s="81"/>
      <c r="E230" s="81"/>
      <c r="F230" s="81"/>
      <c r="G230" s="81"/>
      <c r="H230" s="81"/>
      <c r="I230" s="2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</row>
    <row r="231" ht="17.25" customHeight="1">
      <c r="A231" s="24"/>
      <c r="B231" s="24"/>
      <c r="C231" s="24"/>
      <c r="D231" s="81"/>
      <c r="E231" s="81"/>
      <c r="F231" s="81"/>
      <c r="G231" s="81"/>
      <c r="H231" s="81"/>
      <c r="I231" s="2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</row>
    <row r="232" ht="17.25" customHeight="1">
      <c r="A232" s="24"/>
      <c r="B232" s="24"/>
      <c r="C232" s="24"/>
      <c r="D232" s="81"/>
      <c r="E232" s="81"/>
      <c r="F232" s="81"/>
      <c r="G232" s="81"/>
      <c r="H232" s="81"/>
      <c r="I232" s="2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</row>
    <row r="233" ht="17.25" customHeight="1">
      <c r="A233" s="24"/>
      <c r="B233" s="24"/>
      <c r="C233" s="24"/>
      <c r="D233" s="81"/>
      <c r="E233" s="81"/>
      <c r="F233" s="81"/>
      <c r="G233" s="81"/>
      <c r="H233" s="81"/>
      <c r="I233" s="2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</row>
    <row r="234" ht="17.25" customHeight="1">
      <c r="A234" s="24"/>
      <c r="B234" s="24"/>
      <c r="C234" s="24"/>
      <c r="D234" s="81"/>
      <c r="E234" s="81"/>
      <c r="F234" s="81"/>
      <c r="G234" s="81"/>
      <c r="H234" s="81"/>
      <c r="I234" s="2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</row>
    <row r="235" ht="17.25" customHeight="1">
      <c r="A235" s="24"/>
      <c r="B235" s="24"/>
      <c r="C235" s="24"/>
      <c r="D235" s="81"/>
      <c r="E235" s="81"/>
      <c r="F235" s="81"/>
      <c r="G235" s="81"/>
      <c r="H235" s="81"/>
      <c r="I235" s="2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</row>
    <row r="236" ht="17.25" customHeight="1">
      <c r="A236" s="24"/>
      <c r="B236" s="24"/>
      <c r="C236" s="24"/>
      <c r="D236" s="81"/>
      <c r="E236" s="81"/>
      <c r="F236" s="81"/>
      <c r="G236" s="81"/>
      <c r="H236" s="81"/>
      <c r="I236" s="2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</row>
    <row r="237" ht="17.25" customHeight="1">
      <c r="A237" s="24"/>
      <c r="B237" s="24"/>
      <c r="C237" s="24"/>
      <c r="D237" s="81"/>
      <c r="E237" s="81"/>
      <c r="F237" s="81"/>
      <c r="G237" s="81"/>
      <c r="H237" s="81"/>
      <c r="I237" s="2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</row>
    <row r="238" ht="17.25" customHeight="1">
      <c r="A238" s="24"/>
      <c r="B238" s="24"/>
      <c r="C238" s="24"/>
      <c r="D238" s="81"/>
      <c r="E238" s="81"/>
      <c r="F238" s="81"/>
      <c r="G238" s="81"/>
      <c r="H238" s="81"/>
      <c r="I238" s="2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</row>
    <row r="239" ht="17.25" customHeight="1">
      <c r="A239" s="24"/>
      <c r="B239" s="24"/>
      <c r="C239" s="24"/>
      <c r="D239" s="81"/>
      <c r="E239" s="81"/>
      <c r="F239" s="81"/>
      <c r="G239" s="81"/>
      <c r="H239" s="81"/>
      <c r="I239" s="2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</row>
    <row r="240" ht="17.25" customHeight="1">
      <c r="A240" s="24"/>
      <c r="B240" s="24"/>
      <c r="C240" s="24"/>
      <c r="D240" s="81"/>
      <c r="E240" s="81"/>
      <c r="F240" s="81"/>
      <c r="G240" s="81"/>
      <c r="H240" s="81"/>
      <c r="I240" s="2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</row>
    <row r="241" ht="17.25" customHeight="1">
      <c r="A241" s="24"/>
      <c r="B241" s="24"/>
      <c r="C241" s="24"/>
      <c r="D241" s="81"/>
      <c r="E241" s="81"/>
      <c r="F241" s="81"/>
      <c r="G241" s="81"/>
      <c r="H241" s="81"/>
      <c r="I241" s="2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</row>
    <row r="242" ht="17.25" customHeight="1">
      <c r="A242" s="24"/>
      <c r="B242" s="24"/>
      <c r="C242" s="24"/>
      <c r="D242" s="81"/>
      <c r="E242" s="81"/>
      <c r="F242" s="81"/>
      <c r="G242" s="81"/>
      <c r="H242" s="81"/>
      <c r="I242" s="2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</row>
    <row r="243" ht="17.25" customHeight="1">
      <c r="A243" s="24"/>
      <c r="B243" s="24"/>
      <c r="C243" s="24"/>
      <c r="D243" s="81"/>
      <c r="E243" s="81"/>
      <c r="F243" s="81"/>
      <c r="G243" s="81"/>
      <c r="H243" s="81"/>
      <c r="I243" s="2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</row>
    <row r="244" ht="17.25" customHeight="1">
      <c r="A244" s="24"/>
      <c r="B244" s="24"/>
      <c r="C244" s="24"/>
      <c r="D244" s="81"/>
      <c r="E244" s="81"/>
      <c r="F244" s="81"/>
      <c r="G244" s="81"/>
      <c r="H244" s="81"/>
      <c r="I244" s="2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</row>
    <row r="245" ht="17.25" customHeight="1">
      <c r="A245" s="24"/>
      <c r="B245" s="24"/>
      <c r="C245" s="24"/>
      <c r="D245" s="81"/>
      <c r="E245" s="81"/>
      <c r="F245" s="81"/>
      <c r="G245" s="81"/>
      <c r="H245" s="81"/>
      <c r="I245" s="2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</row>
    <row r="246" ht="17.25" customHeight="1">
      <c r="A246" s="24"/>
      <c r="B246" s="24"/>
      <c r="C246" s="24"/>
      <c r="D246" s="81"/>
      <c r="E246" s="81"/>
      <c r="F246" s="81"/>
      <c r="G246" s="81"/>
      <c r="H246" s="81"/>
      <c r="I246" s="2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</row>
    <row r="247" ht="17.25" customHeight="1">
      <c r="A247" s="24"/>
      <c r="B247" s="24"/>
      <c r="C247" s="24"/>
      <c r="D247" s="81"/>
      <c r="E247" s="81"/>
      <c r="F247" s="81"/>
      <c r="G247" s="81"/>
      <c r="H247" s="81"/>
      <c r="I247" s="2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</row>
    <row r="248" ht="17.25" customHeight="1">
      <c r="A248" s="24"/>
      <c r="B248" s="24"/>
      <c r="C248" s="24"/>
      <c r="D248" s="81"/>
      <c r="E248" s="81"/>
      <c r="F248" s="81"/>
      <c r="G248" s="81"/>
      <c r="H248" s="81"/>
      <c r="I248" s="2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</row>
    <row r="249" ht="17.25" customHeight="1">
      <c r="A249" s="24"/>
      <c r="B249" s="24"/>
      <c r="C249" s="24"/>
      <c r="D249" s="81"/>
      <c r="E249" s="81"/>
      <c r="F249" s="81"/>
      <c r="G249" s="81"/>
      <c r="H249" s="81"/>
      <c r="I249" s="2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</row>
    <row r="250" ht="17.25" customHeight="1">
      <c r="A250" s="24"/>
      <c r="B250" s="24"/>
      <c r="C250" s="24"/>
      <c r="D250" s="81"/>
      <c r="E250" s="81"/>
      <c r="F250" s="81"/>
      <c r="G250" s="81"/>
      <c r="H250" s="81"/>
      <c r="I250" s="2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</row>
    <row r="251" ht="17.25" customHeight="1">
      <c r="A251" s="24"/>
      <c r="B251" s="24"/>
      <c r="C251" s="24"/>
      <c r="D251" s="81"/>
      <c r="E251" s="81"/>
      <c r="F251" s="81"/>
      <c r="G251" s="81"/>
      <c r="H251" s="81"/>
      <c r="I251" s="2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</row>
    <row r="252" ht="17.25" customHeight="1">
      <c r="A252" s="24"/>
      <c r="B252" s="24"/>
      <c r="C252" s="24"/>
      <c r="D252" s="81"/>
      <c r="E252" s="81"/>
      <c r="F252" s="81"/>
      <c r="G252" s="81"/>
      <c r="H252" s="81"/>
      <c r="I252" s="2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</row>
    <row r="253" ht="17.25" customHeight="1">
      <c r="A253" s="24"/>
      <c r="B253" s="24"/>
      <c r="C253" s="24"/>
      <c r="D253" s="81"/>
      <c r="E253" s="81"/>
      <c r="F253" s="81"/>
      <c r="G253" s="81"/>
      <c r="H253" s="81"/>
      <c r="I253" s="2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</row>
    <row r="254" ht="17.25" customHeight="1">
      <c r="A254" s="24"/>
      <c r="B254" s="24"/>
      <c r="C254" s="24"/>
      <c r="D254" s="81"/>
      <c r="E254" s="81"/>
      <c r="F254" s="81"/>
      <c r="G254" s="81"/>
      <c r="H254" s="81"/>
      <c r="I254" s="2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</row>
    <row r="255" ht="17.25" customHeight="1">
      <c r="A255" s="24"/>
      <c r="B255" s="24"/>
      <c r="C255" s="24"/>
      <c r="D255" s="81"/>
      <c r="E255" s="81"/>
      <c r="F255" s="81"/>
      <c r="G255" s="81"/>
      <c r="H255" s="81"/>
      <c r="I255" s="2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</row>
    <row r="256" ht="17.25" customHeight="1">
      <c r="A256" s="24"/>
      <c r="B256" s="24"/>
      <c r="C256" s="24"/>
      <c r="D256" s="81"/>
      <c r="E256" s="81"/>
      <c r="F256" s="81"/>
      <c r="G256" s="81"/>
      <c r="H256" s="81"/>
      <c r="I256" s="2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</row>
    <row r="257" ht="17.25" customHeight="1">
      <c r="A257" s="24"/>
      <c r="B257" s="24"/>
      <c r="C257" s="24"/>
      <c r="D257" s="81"/>
      <c r="E257" s="81"/>
      <c r="F257" s="81"/>
      <c r="G257" s="81"/>
      <c r="H257" s="81"/>
      <c r="I257" s="2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</row>
    <row r="258" ht="17.25" customHeight="1">
      <c r="A258" s="24"/>
      <c r="B258" s="24"/>
      <c r="C258" s="24"/>
      <c r="D258" s="81"/>
      <c r="E258" s="81"/>
      <c r="F258" s="81"/>
      <c r="G258" s="81"/>
      <c r="H258" s="81"/>
      <c r="I258" s="2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</row>
    <row r="259" ht="17.25" customHeight="1">
      <c r="A259" s="24"/>
      <c r="B259" s="24"/>
      <c r="C259" s="24"/>
      <c r="D259" s="81"/>
      <c r="E259" s="81"/>
      <c r="F259" s="81"/>
      <c r="G259" s="81"/>
      <c r="H259" s="81"/>
      <c r="I259" s="2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</row>
    <row r="260" ht="17.25" customHeight="1">
      <c r="A260" s="24"/>
      <c r="B260" s="24"/>
      <c r="C260" s="24"/>
      <c r="D260" s="81"/>
      <c r="E260" s="81"/>
      <c r="F260" s="81"/>
      <c r="G260" s="81"/>
      <c r="H260" s="81"/>
      <c r="I260" s="2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</row>
    <row r="261" ht="17.25" customHeight="1">
      <c r="A261" s="24"/>
      <c r="B261" s="24"/>
      <c r="C261" s="24"/>
      <c r="D261" s="81"/>
      <c r="E261" s="81"/>
      <c r="F261" s="81"/>
      <c r="G261" s="81"/>
      <c r="H261" s="81"/>
      <c r="I261" s="2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</row>
    <row r="262" ht="17.25" customHeight="1">
      <c r="A262" s="24"/>
      <c r="B262" s="24"/>
      <c r="C262" s="24"/>
      <c r="D262" s="81"/>
      <c r="E262" s="81"/>
      <c r="F262" s="81"/>
      <c r="G262" s="81"/>
      <c r="H262" s="81"/>
      <c r="I262" s="2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</row>
    <row r="263" ht="17.25" customHeight="1">
      <c r="A263" s="24"/>
      <c r="B263" s="24"/>
      <c r="C263" s="24"/>
      <c r="D263" s="81"/>
      <c r="E263" s="81"/>
      <c r="F263" s="81"/>
      <c r="G263" s="81"/>
      <c r="H263" s="81"/>
      <c r="I263" s="2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</row>
    <row r="264" ht="17.25" customHeight="1">
      <c r="A264" s="24"/>
      <c r="B264" s="24"/>
      <c r="C264" s="24"/>
      <c r="D264" s="81"/>
      <c r="E264" s="81"/>
      <c r="F264" s="81"/>
      <c r="G264" s="81"/>
      <c r="H264" s="81"/>
      <c r="I264" s="2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</row>
    <row r="265" ht="17.25" customHeight="1">
      <c r="A265" s="24"/>
      <c r="B265" s="24"/>
      <c r="C265" s="24"/>
      <c r="D265" s="81"/>
      <c r="E265" s="81"/>
      <c r="F265" s="81"/>
      <c r="G265" s="81"/>
      <c r="H265" s="81"/>
      <c r="I265" s="2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</row>
    <row r="266" ht="17.25" customHeight="1">
      <c r="A266" s="24"/>
      <c r="B266" s="24"/>
      <c r="C266" s="24"/>
      <c r="D266" s="81"/>
      <c r="E266" s="81"/>
      <c r="F266" s="81"/>
      <c r="G266" s="81"/>
      <c r="H266" s="81"/>
      <c r="I266" s="2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</row>
    <row r="267" ht="17.25" customHeight="1">
      <c r="A267" s="24"/>
      <c r="B267" s="24"/>
      <c r="C267" s="24"/>
      <c r="D267" s="81"/>
      <c r="E267" s="81"/>
      <c r="F267" s="81"/>
      <c r="G267" s="81"/>
      <c r="H267" s="81"/>
      <c r="I267" s="2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</row>
    <row r="268" ht="17.25" customHeight="1">
      <c r="A268" s="24"/>
      <c r="B268" s="24"/>
      <c r="C268" s="24"/>
      <c r="D268" s="81"/>
      <c r="E268" s="81"/>
      <c r="F268" s="81"/>
      <c r="G268" s="81"/>
      <c r="H268" s="81"/>
      <c r="I268" s="2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</row>
    <row r="269" ht="17.25" customHeight="1">
      <c r="A269" s="24"/>
      <c r="B269" s="24"/>
      <c r="C269" s="24"/>
      <c r="D269" s="81"/>
      <c r="E269" s="81"/>
      <c r="F269" s="81"/>
      <c r="G269" s="81"/>
      <c r="H269" s="81"/>
      <c r="I269" s="2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</row>
    <row r="270" ht="17.25" customHeight="1">
      <c r="A270" s="24"/>
      <c r="B270" s="24"/>
      <c r="C270" s="24"/>
      <c r="D270" s="81"/>
      <c r="E270" s="81"/>
      <c r="F270" s="81"/>
      <c r="G270" s="81"/>
      <c r="H270" s="81"/>
      <c r="I270" s="2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</row>
    <row r="271" ht="17.25" customHeight="1">
      <c r="A271" s="24"/>
      <c r="B271" s="24"/>
      <c r="C271" s="24"/>
      <c r="D271" s="81"/>
      <c r="E271" s="81"/>
      <c r="F271" s="81"/>
      <c r="G271" s="81"/>
      <c r="H271" s="81"/>
      <c r="I271" s="2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</row>
    <row r="272" ht="17.25" customHeight="1">
      <c r="A272" s="24"/>
      <c r="B272" s="24"/>
      <c r="C272" s="24"/>
      <c r="D272" s="81"/>
      <c r="E272" s="81"/>
      <c r="F272" s="81"/>
      <c r="G272" s="81"/>
      <c r="H272" s="81"/>
      <c r="I272" s="2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</row>
    <row r="273" ht="17.25" customHeight="1">
      <c r="A273" s="24"/>
      <c r="B273" s="24"/>
      <c r="C273" s="24"/>
      <c r="D273" s="81"/>
      <c r="E273" s="81"/>
      <c r="F273" s="81"/>
      <c r="G273" s="81"/>
      <c r="H273" s="81"/>
      <c r="I273" s="2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</row>
    <row r="274" ht="17.25" customHeight="1">
      <c r="A274" s="24"/>
      <c r="B274" s="24"/>
      <c r="C274" s="24"/>
      <c r="D274" s="81"/>
      <c r="E274" s="81"/>
      <c r="F274" s="81"/>
      <c r="G274" s="81"/>
      <c r="H274" s="81"/>
      <c r="I274" s="2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</row>
    <row r="275" ht="17.25" customHeight="1">
      <c r="A275" s="24"/>
      <c r="B275" s="24"/>
      <c r="C275" s="24"/>
      <c r="D275" s="81"/>
      <c r="E275" s="81"/>
      <c r="F275" s="81"/>
      <c r="G275" s="81"/>
      <c r="H275" s="81"/>
      <c r="I275" s="2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</row>
    <row r="276" ht="17.25" customHeight="1">
      <c r="A276" s="24"/>
      <c r="B276" s="24"/>
      <c r="C276" s="24"/>
      <c r="D276" s="81"/>
      <c r="E276" s="81"/>
      <c r="F276" s="81"/>
      <c r="G276" s="81"/>
      <c r="H276" s="81"/>
      <c r="I276" s="2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</row>
    <row r="277" ht="17.25" customHeight="1">
      <c r="A277" s="24"/>
      <c r="B277" s="24"/>
      <c r="C277" s="24"/>
      <c r="D277" s="81"/>
      <c r="E277" s="81"/>
      <c r="F277" s="81"/>
      <c r="G277" s="81"/>
      <c r="H277" s="81"/>
      <c r="I277" s="2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</row>
    <row r="278" ht="17.25" customHeight="1">
      <c r="A278" s="24"/>
      <c r="B278" s="24"/>
      <c r="C278" s="24"/>
      <c r="D278" s="81"/>
      <c r="E278" s="81"/>
      <c r="F278" s="81"/>
      <c r="G278" s="81"/>
      <c r="H278" s="81"/>
      <c r="I278" s="2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</row>
    <row r="279" ht="17.25" customHeight="1">
      <c r="A279" s="24"/>
      <c r="B279" s="24"/>
      <c r="C279" s="24"/>
      <c r="D279" s="81"/>
      <c r="E279" s="81"/>
      <c r="F279" s="81"/>
      <c r="G279" s="81"/>
      <c r="H279" s="81"/>
      <c r="I279" s="2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</row>
    <row r="280" ht="17.25" customHeight="1">
      <c r="A280" s="24"/>
      <c r="B280" s="24"/>
      <c r="C280" s="24"/>
      <c r="D280" s="81"/>
      <c r="E280" s="81"/>
      <c r="F280" s="81"/>
      <c r="G280" s="81"/>
      <c r="H280" s="81"/>
      <c r="I280" s="2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</row>
    <row r="281" ht="17.25" customHeight="1">
      <c r="A281" s="24"/>
      <c r="B281" s="24"/>
      <c r="C281" s="24"/>
      <c r="D281" s="81"/>
      <c r="E281" s="81"/>
      <c r="F281" s="81"/>
      <c r="G281" s="81"/>
      <c r="H281" s="81"/>
      <c r="I281" s="2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</row>
    <row r="282" ht="17.25" customHeight="1">
      <c r="A282" s="24"/>
      <c r="B282" s="24"/>
      <c r="C282" s="24"/>
      <c r="D282" s="81"/>
      <c r="E282" s="81"/>
      <c r="F282" s="81"/>
      <c r="G282" s="81"/>
      <c r="H282" s="81"/>
      <c r="I282" s="2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</row>
    <row r="283" ht="17.25" customHeight="1">
      <c r="A283" s="24"/>
      <c r="B283" s="24"/>
      <c r="C283" s="24"/>
      <c r="D283" s="81"/>
      <c r="E283" s="81"/>
      <c r="F283" s="81"/>
      <c r="G283" s="81"/>
      <c r="H283" s="81"/>
      <c r="I283" s="2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</row>
    <row r="284" ht="17.25" customHeight="1">
      <c r="A284" s="24"/>
      <c r="B284" s="24"/>
      <c r="C284" s="24"/>
      <c r="D284" s="81"/>
      <c r="E284" s="81"/>
      <c r="F284" s="81"/>
      <c r="G284" s="81"/>
      <c r="H284" s="81"/>
      <c r="I284" s="2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</row>
    <row r="285" ht="17.25" customHeight="1">
      <c r="A285" s="24"/>
      <c r="B285" s="24"/>
      <c r="C285" s="24"/>
      <c r="D285" s="81"/>
      <c r="E285" s="81"/>
      <c r="F285" s="81"/>
      <c r="G285" s="81"/>
      <c r="H285" s="81"/>
      <c r="I285" s="2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</row>
    <row r="286" ht="17.25" customHeight="1">
      <c r="A286" s="24"/>
      <c r="B286" s="24"/>
      <c r="C286" s="24"/>
      <c r="D286" s="81"/>
      <c r="E286" s="81"/>
      <c r="F286" s="81"/>
      <c r="G286" s="81"/>
      <c r="H286" s="81"/>
      <c r="I286" s="2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</row>
    <row r="287" ht="17.25" customHeight="1">
      <c r="A287" s="24"/>
      <c r="B287" s="24"/>
      <c r="C287" s="24"/>
      <c r="D287" s="81"/>
      <c r="E287" s="81"/>
      <c r="F287" s="81"/>
      <c r="G287" s="81"/>
      <c r="H287" s="81"/>
      <c r="I287" s="2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</row>
    <row r="288" ht="17.25" customHeight="1">
      <c r="A288" s="24"/>
      <c r="B288" s="24"/>
      <c r="C288" s="24"/>
      <c r="D288" s="81"/>
      <c r="E288" s="81"/>
      <c r="F288" s="81"/>
      <c r="G288" s="81"/>
      <c r="H288" s="81"/>
      <c r="I288" s="2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</row>
    <row r="289" ht="17.25" customHeight="1">
      <c r="A289" s="24"/>
      <c r="B289" s="24"/>
      <c r="C289" s="24"/>
      <c r="D289" s="81"/>
      <c r="E289" s="81"/>
      <c r="F289" s="81"/>
      <c r="G289" s="81"/>
      <c r="H289" s="81"/>
      <c r="I289" s="2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</row>
    <row r="290" ht="17.25" customHeight="1">
      <c r="A290" s="24"/>
      <c r="B290" s="24"/>
      <c r="C290" s="24"/>
      <c r="D290" s="81"/>
      <c r="E290" s="81"/>
      <c r="F290" s="81"/>
      <c r="G290" s="81"/>
      <c r="H290" s="81"/>
      <c r="I290" s="2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</row>
    <row r="291" ht="17.25" customHeight="1">
      <c r="A291" s="24"/>
      <c r="B291" s="24"/>
      <c r="C291" s="24"/>
      <c r="D291" s="81"/>
      <c r="E291" s="81"/>
      <c r="F291" s="81"/>
      <c r="G291" s="81"/>
      <c r="H291" s="81"/>
      <c r="I291" s="2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</row>
    <row r="292" ht="17.25" customHeight="1">
      <c r="A292" s="24"/>
      <c r="B292" s="24"/>
      <c r="C292" s="24"/>
      <c r="D292" s="81"/>
      <c r="E292" s="81"/>
      <c r="F292" s="81"/>
      <c r="G292" s="81"/>
      <c r="H292" s="81"/>
      <c r="I292" s="2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</row>
    <row r="293" ht="17.25" customHeight="1">
      <c r="A293" s="24"/>
      <c r="B293" s="24"/>
      <c r="C293" s="24"/>
      <c r="D293" s="81"/>
      <c r="E293" s="81"/>
      <c r="F293" s="81"/>
      <c r="G293" s="81"/>
      <c r="H293" s="81"/>
      <c r="I293" s="2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</row>
    <row r="294" ht="17.25" customHeight="1">
      <c r="A294" s="24"/>
      <c r="B294" s="24"/>
      <c r="C294" s="24"/>
      <c r="D294" s="81"/>
      <c r="E294" s="81"/>
      <c r="F294" s="81"/>
      <c r="G294" s="81"/>
      <c r="H294" s="81"/>
      <c r="I294" s="2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</row>
    <row r="295" ht="17.25" customHeight="1">
      <c r="A295" s="24"/>
      <c r="B295" s="24"/>
      <c r="C295" s="24"/>
      <c r="D295" s="81"/>
      <c r="E295" s="81"/>
      <c r="F295" s="81"/>
      <c r="G295" s="81"/>
      <c r="H295" s="81"/>
      <c r="I295" s="2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</row>
    <row r="296" ht="17.25" customHeight="1">
      <c r="A296" s="24"/>
      <c r="B296" s="24"/>
      <c r="C296" s="24"/>
      <c r="D296" s="81"/>
      <c r="E296" s="81"/>
      <c r="F296" s="81"/>
      <c r="G296" s="81"/>
      <c r="H296" s="81"/>
      <c r="I296" s="2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</row>
    <row r="297" ht="17.25" customHeight="1">
      <c r="A297" s="24"/>
      <c r="B297" s="24"/>
      <c r="C297" s="24"/>
      <c r="D297" s="81"/>
      <c r="E297" s="81"/>
      <c r="F297" s="81"/>
      <c r="G297" s="81"/>
      <c r="H297" s="81"/>
      <c r="I297" s="2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</row>
    <row r="298" ht="17.25" customHeight="1">
      <c r="A298" s="24"/>
      <c r="B298" s="24"/>
      <c r="C298" s="24"/>
      <c r="D298" s="81"/>
      <c r="E298" s="81"/>
      <c r="F298" s="81"/>
      <c r="G298" s="81"/>
      <c r="H298" s="81"/>
      <c r="I298" s="2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</row>
    <row r="299" ht="17.25" customHeight="1">
      <c r="A299" s="24"/>
      <c r="B299" s="24"/>
      <c r="C299" s="24"/>
      <c r="D299" s="81"/>
      <c r="E299" s="81"/>
      <c r="F299" s="81"/>
      <c r="G299" s="81"/>
      <c r="H299" s="81"/>
      <c r="I299" s="2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</row>
    <row r="300" ht="17.25" customHeight="1">
      <c r="A300" s="24"/>
      <c r="B300" s="24"/>
      <c r="C300" s="24"/>
      <c r="D300" s="81"/>
      <c r="E300" s="81"/>
      <c r="F300" s="81"/>
      <c r="G300" s="81"/>
      <c r="H300" s="81"/>
      <c r="I300" s="2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</row>
    <row r="301" ht="17.25" customHeight="1">
      <c r="A301" s="24"/>
      <c r="B301" s="24"/>
      <c r="C301" s="24"/>
      <c r="D301" s="81"/>
      <c r="E301" s="81"/>
      <c r="F301" s="81"/>
      <c r="G301" s="81"/>
      <c r="H301" s="81"/>
      <c r="I301" s="2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</row>
    <row r="302" ht="17.25" customHeight="1">
      <c r="A302" s="24"/>
      <c r="B302" s="24"/>
      <c r="C302" s="24"/>
      <c r="D302" s="81"/>
      <c r="E302" s="81"/>
      <c r="F302" s="81"/>
      <c r="G302" s="81"/>
      <c r="H302" s="81"/>
      <c r="I302" s="2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</row>
    <row r="303" ht="17.25" customHeight="1">
      <c r="A303" s="24"/>
      <c r="B303" s="24"/>
      <c r="C303" s="24"/>
      <c r="D303" s="81"/>
      <c r="E303" s="81"/>
      <c r="F303" s="81"/>
      <c r="G303" s="81"/>
      <c r="H303" s="81"/>
      <c r="I303" s="2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</row>
    <row r="304" ht="17.25" customHeight="1">
      <c r="A304" s="24"/>
      <c r="B304" s="24"/>
      <c r="C304" s="24"/>
      <c r="D304" s="81"/>
      <c r="E304" s="81"/>
      <c r="F304" s="81"/>
      <c r="G304" s="81"/>
      <c r="H304" s="81"/>
      <c r="I304" s="2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</row>
    <row r="305" ht="17.25" customHeight="1">
      <c r="A305" s="24"/>
      <c r="B305" s="24"/>
      <c r="C305" s="24"/>
      <c r="D305" s="81"/>
      <c r="E305" s="81"/>
      <c r="F305" s="81"/>
      <c r="G305" s="81"/>
      <c r="H305" s="81"/>
      <c r="I305" s="2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</row>
    <row r="306" ht="17.25" customHeight="1">
      <c r="A306" s="24"/>
      <c r="B306" s="24"/>
      <c r="C306" s="24"/>
      <c r="D306" s="81"/>
      <c r="E306" s="81"/>
      <c r="F306" s="81"/>
      <c r="G306" s="81"/>
      <c r="H306" s="81"/>
      <c r="I306" s="2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</row>
    <row r="307" ht="17.25" customHeight="1">
      <c r="A307" s="24"/>
      <c r="B307" s="24"/>
      <c r="C307" s="24"/>
      <c r="D307" s="81"/>
      <c r="E307" s="81"/>
      <c r="F307" s="81"/>
      <c r="G307" s="81"/>
      <c r="H307" s="81"/>
      <c r="I307" s="2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</row>
    <row r="308" ht="17.25" customHeight="1">
      <c r="A308" s="24"/>
      <c r="B308" s="24"/>
      <c r="C308" s="24"/>
      <c r="D308" s="81"/>
      <c r="E308" s="81"/>
      <c r="F308" s="81"/>
      <c r="G308" s="81"/>
      <c r="H308" s="81"/>
      <c r="I308" s="2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</row>
    <row r="309" ht="17.25" customHeight="1">
      <c r="A309" s="24"/>
      <c r="B309" s="24"/>
      <c r="C309" s="24"/>
      <c r="D309" s="81"/>
      <c r="E309" s="81"/>
      <c r="F309" s="81"/>
      <c r="G309" s="81"/>
      <c r="H309" s="81"/>
      <c r="I309" s="2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</row>
    <row r="310" ht="17.25" customHeight="1">
      <c r="A310" s="24"/>
      <c r="B310" s="24"/>
      <c r="C310" s="24"/>
      <c r="D310" s="81"/>
      <c r="E310" s="81"/>
      <c r="F310" s="81"/>
      <c r="G310" s="81"/>
      <c r="H310" s="81"/>
      <c r="I310" s="2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</row>
    <row r="311" ht="17.25" customHeight="1">
      <c r="A311" s="24"/>
      <c r="B311" s="24"/>
      <c r="C311" s="24"/>
      <c r="D311" s="81"/>
      <c r="E311" s="81"/>
      <c r="F311" s="81"/>
      <c r="G311" s="81"/>
      <c r="H311" s="81"/>
      <c r="I311" s="2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</row>
    <row r="312" ht="17.25" customHeight="1">
      <c r="A312" s="24"/>
      <c r="B312" s="24"/>
      <c r="C312" s="24"/>
      <c r="D312" s="81"/>
      <c r="E312" s="81"/>
      <c r="F312" s="81"/>
      <c r="G312" s="81"/>
      <c r="H312" s="81"/>
      <c r="I312" s="2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</row>
    <row r="313" ht="17.25" customHeight="1">
      <c r="A313" s="24"/>
      <c r="B313" s="24"/>
      <c r="C313" s="24"/>
      <c r="D313" s="81"/>
      <c r="E313" s="81"/>
      <c r="F313" s="81"/>
      <c r="G313" s="81"/>
      <c r="H313" s="81"/>
      <c r="I313" s="2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</row>
    <row r="314" ht="17.25" customHeight="1">
      <c r="A314" s="24"/>
      <c r="B314" s="24"/>
      <c r="C314" s="24"/>
      <c r="D314" s="81"/>
      <c r="E314" s="81"/>
      <c r="F314" s="81"/>
      <c r="G314" s="81"/>
      <c r="H314" s="81"/>
      <c r="I314" s="2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</row>
    <row r="315" ht="17.25" customHeight="1">
      <c r="A315" s="24"/>
      <c r="B315" s="24"/>
      <c r="C315" s="24"/>
      <c r="D315" s="81"/>
      <c r="E315" s="81"/>
      <c r="F315" s="81"/>
      <c r="G315" s="81"/>
      <c r="H315" s="81"/>
      <c r="I315" s="2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</row>
    <row r="316" ht="17.25" customHeight="1">
      <c r="A316" s="24"/>
      <c r="B316" s="24"/>
      <c r="C316" s="24"/>
      <c r="D316" s="81"/>
      <c r="E316" s="81"/>
      <c r="F316" s="81"/>
      <c r="G316" s="81"/>
      <c r="H316" s="81"/>
      <c r="I316" s="2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</row>
    <row r="317" ht="17.25" customHeight="1">
      <c r="A317" s="24"/>
      <c r="B317" s="24"/>
      <c r="C317" s="24"/>
      <c r="D317" s="81"/>
      <c r="E317" s="81"/>
      <c r="F317" s="81"/>
      <c r="G317" s="81"/>
      <c r="H317" s="81"/>
      <c r="I317" s="2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</row>
    <row r="318" ht="17.25" customHeight="1">
      <c r="A318" s="24"/>
      <c r="B318" s="24"/>
      <c r="C318" s="24"/>
      <c r="D318" s="81"/>
      <c r="E318" s="81"/>
      <c r="F318" s="81"/>
      <c r="G318" s="81"/>
      <c r="H318" s="81"/>
      <c r="I318" s="2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</row>
    <row r="319" ht="17.25" customHeight="1">
      <c r="A319" s="24"/>
      <c r="B319" s="24"/>
      <c r="C319" s="24"/>
      <c r="D319" s="81"/>
      <c r="E319" s="81"/>
      <c r="F319" s="81"/>
      <c r="G319" s="81"/>
      <c r="H319" s="81"/>
      <c r="I319" s="2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</row>
    <row r="320" ht="17.25" customHeight="1">
      <c r="A320" s="24"/>
      <c r="B320" s="24"/>
      <c r="C320" s="24"/>
      <c r="D320" s="81"/>
      <c r="E320" s="81"/>
      <c r="F320" s="81"/>
      <c r="G320" s="81"/>
      <c r="H320" s="81"/>
      <c r="I320" s="2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</row>
    <row r="321" ht="17.25" customHeight="1">
      <c r="A321" s="24"/>
      <c r="B321" s="24"/>
      <c r="C321" s="24"/>
      <c r="D321" s="81"/>
      <c r="E321" s="81"/>
      <c r="F321" s="81"/>
      <c r="G321" s="81"/>
      <c r="H321" s="81"/>
      <c r="I321" s="2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</row>
    <row r="322" ht="17.25" customHeight="1">
      <c r="A322" s="24"/>
      <c r="B322" s="24"/>
      <c r="C322" s="24"/>
      <c r="D322" s="81"/>
      <c r="E322" s="81"/>
      <c r="F322" s="81"/>
      <c r="G322" s="81"/>
      <c r="H322" s="81"/>
      <c r="I322" s="2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</row>
    <row r="323" ht="17.25" customHeight="1">
      <c r="A323" s="24"/>
      <c r="B323" s="24"/>
      <c r="C323" s="24"/>
      <c r="D323" s="81"/>
      <c r="E323" s="81"/>
      <c r="F323" s="81"/>
      <c r="G323" s="81"/>
      <c r="H323" s="81"/>
      <c r="I323" s="2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</row>
    <row r="324" ht="17.25" customHeight="1">
      <c r="A324" s="24"/>
      <c r="B324" s="24"/>
      <c r="C324" s="24"/>
      <c r="D324" s="81"/>
      <c r="E324" s="81"/>
      <c r="F324" s="81"/>
      <c r="G324" s="81"/>
      <c r="H324" s="81"/>
      <c r="I324" s="2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</row>
    <row r="325" ht="17.25" customHeight="1">
      <c r="A325" s="24"/>
      <c r="B325" s="24"/>
      <c r="C325" s="24"/>
      <c r="D325" s="81"/>
      <c r="E325" s="81"/>
      <c r="F325" s="81"/>
      <c r="G325" s="81"/>
      <c r="H325" s="81"/>
      <c r="I325" s="2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</row>
    <row r="326" ht="17.25" customHeight="1">
      <c r="A326" s="24"/>
      <c r="B326" s="24"/>
      <c r="C326" s="24"/>
      <c r="D326" s="81"/>
      <c r="E326" s="81"/>
      <c r="F326" s="81"/>
      <c r="G326" s="81"/>
      <c r="H326" s="81"/>
      <c r="I326" s="2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</row>
    <row r="327" ht="17.25" customHeight="1">
      <c r="A327" s="24"/>
      <c r="B327" s="24"/>
      <c r="C327" s="24"/>
      <c r="D327" s="81"/>
      <c r="E327" s="81"/>
      <c r="F327" s="81"/>
      <c r="G327" s="81"/>
      <c r="H327" s="81"/>
      <c r="I327" s="2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</row>
    <row r="328" ht="17.25" customHeight="1">
      <c r="A328" s="24"/>
      <c r="B328" s="24"/>
      <c r="C328" s="24"/>
      <c r="D328" s="81"/>
      <c r="E328" s="81"/>
      <c r="F328" s="81"/>
      <c r="G328" s="81"/>
      <c r="H328" s="81"/>
      <c r="I328" s="2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</row>
    <row r="329" ht="17.25" customHeight="1">
      <c r="A329" s="24"/>
      <c r="B329" s="24"/>
      <c r="C329" s="24"/>
      <c r="D329" s="81"/>
      <c r="E329" s="81"/>
      <c r="F329" s="81"/>
      <c r="G329" s="81"/>
      <c r="H329" s="81"/>
      <c r="I329" s="2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</row>
    <row r="330" ht="17.25" customHeight="1">
      <c r="A330" s="24"/>
      <c r="B330" s="24"/>
      <c r="C330" s="24"/>
      <c r="D330" s="81"/>
      <c r="E330" s="81"/>
      <c r="F330" s="81"/>
      <c r="G330" s="81"/>
      <c r="H330" s="81"/>
      <c r="I330" s="2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</row>
    <row r="331" ht="17.25" customHeight="1">
      <c r="A331" s="24"/>
      <c r="B331" s="24"/>
      <c r="C331" s="24"/>
      <c r="D331" s="81"/>
      <c r="E331" s="81"/>
      <c r="F331" s="81"/>
      <c r="G331" s="81"/>
      <c r="H331" s="81"/>
      <c r="I331" s="2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</row>
    <row r="332" ht="17.25" customHeight="1">
      <c r="A332" s="24"/>
      <c r="B332" s="24"/>
      <c r="C332" s="24"/>
      <c r="D332" s="81"/>
      <c r="E332" s="81"/>
      <c r="F332" s="81"/>
      <c r="G332" s="81"/>
      <c r="H332" s="81"/>
      <c r="I332" s="2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</row>
    <row r="333" ht="17.25" customHeight="1">
      <c r="A333" s="24"/>
      <c r="B333" s="24"/>
      <c r="C333" s="24"/>
      <c r="D333" s="81"/>
      <c r="E333" s="81"/>
      <c r="F333" s="81"/>
      <c r="G333" s="81"/>
      <c r="H333" s="81"/>
      <c r="I333" s="2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</row>
    <row r="334" ht="17.25" customHeight="1">
      <c r="A334" s="24"/>
      <c r="B334" s="24"/>
      <c r="C334" s="24"/>
      <c r="D334" s="81"/>
      <c r="E334" s="81"/>
      <c r="F334" s="81"/>
      <c r="G334" s="81"/>
      <c r="H334" s="81"/>
      <c r="I334" s="2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</row>
    <row r="335" ht="17.25" customHeight="1">
      <c r="A335" s="24"/>
      <c r="B335" s="24"/>
      <c r="C335" s="24"/>
      <c r="D335" s="81"/>
      <c r="E335" s="81"/>
      <c r="F335" s="81"/>
      <c r="G335" s="81"/>
      <c r="H335" s="81"/>
      <c r="I335" s="2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</row>
    <row r="336" ht="17.25" customHeight="1">
      <c r="A336" s="24"/>
      <c r="B336" s="24"/>
      <c r="C336" s="24"/>
      <c r="D336" s="81"/>
      <c r="E336" s="81"/>
      <c r="F336" s="81"/>
      <c r="G336" s="81"/>
      <c r="H336" s="81"/>
      <c r="I336" s="2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</row>
    <row r="337" ht="17.25" customHeight="1">
      <c r="A337" s="24"/>
      <c r="B337" s="24"/>
      <c r="C337" s="24"/>
      <c r="D337" s="81"/>
      <c r="E337" s="81"/>
      <c r="F337" s="81"/>
      <c r="G337" s="81"/>
      <c r="H337" s="81"/>
      <c r="I337" s="2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</row>
    <row r="338" ht="17.25" customHeight="1">
      <c r="A338" s="24"/>
      <c r="B338" s="24"/>
      <c r="C338" s="24"/>
      <c r="D338" s="81"/>
      <c r="E338" s="81"/>
      <c r="F338" s="81"/>
      <c r="G338" s="81"/>
      <c r="H338" s="81"/>
      <c r="I338" s="2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</row>
    <row r="339" ht="17.25" customHeight="1">
      <c r="A339" s="24"/>
      <c r="B339" s="24"/>
      <c r="C339" s="24"/>
      <c r="D339" s="81"/>
      <c r="E339" s="81"/>
      <c r="F339" s="81"/>
      <c r="G339" s="81"/>
      <c r="H339" s="81"/>
      <c r="I339" s="2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</row>
    <row r="340" ht="17.25" customHeight="1">
      <c r="A340" s="24"/>
      <c r="B340" s="24"/>
      <c r="C340" s="24"/>
      <c r="D340" s="81"/>
      <c r="E340" s="81"/>
      <c r="F340" s="81"/>
      <c r="G340" s="81"/>
      <c r="H340" s="81"/>
      <c r="I340" s="2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</row>
    <row r="341" ht="17.25" customHeight="1">
      <c r="A341" s="24"/>
      <c r="B341" s="24"/>
      <c r="C341" s="24"/>
      <c r="D341" s="81"/>
      <c r="E341" s="81"/>
      <c r="F341" s="81"/>
      <c r="G341" s="81"/>
      <c r="H341" s="81"/>
      <c r="I341" s="2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</row>
    <row r="342" ht="17.25" customHeight="1">
      <c r="A342" s="24"/>
      <c r="B342" s="24"/>
      <c r="C342" s="24"/>
      <c r="D342" s="81"/>
      <c r="E342" s="81"/>
      <c r="F342" s="81"/>
      <c r="G342" s="81"/>
      <c r="H342" s="81"/>
      <c r="I342" s="2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</row>
    <row r="343" ht="17.25" customHeight="1">
      <c r="A343" s="24"/>
      <c r="B343" s="24"/>
      <c r="C343" s="24"/>
      <c r="D343" s="81"/>
      <c r="E343" s="81"/>
      <c r="F343" s="81"/>
      <c r="G343" s="81"/>
      <c r="H343" s="81"/>
      <c r="I343" s="2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</row>
    <row r="344" ht="17.25" customHeight="1">
      <c r="A344" s="24"/>
      <c r="B344" s="24"/>
      <c r="C344" s="24"/>
      <c r="D344" s="81"/>
      <c r="E344" s="81"/>
      <c r="F344" s="81"/>
      <c r="G344" s="81"/>
      <c r="H344" s="81"/>
      <c r="I344" s="2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</row>
    <row r="345" ht="17.25" customHeight="1">
      <c r="A345" s="24"/>
      <c r="B345" s="24"/>
      <c r="C345" s="24"/>
      <c r="D345" s="81"/>
      <c r="E345" s="81"/>
      <c r="F345" s="81"/>
      <c r="G345" s="81"/>
      <c r="H345" s="81"/>
      <c r="I345" s="2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</row>
    <row r="346" ht="17.25" customHeight="1">
      <c r="A346" s="24"/>
      <c r="B346" s="24"/>
      <c r="C346" s="24"/>
      <c r="D346" s="81"/>
      <c r="E346" s="81"/>
      <c r="F346" s="81"/>
      <c r="G346" s="81"/>
      <c r="H346" s="81"/>
      <c r="I346" s="2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</row>
    <row r="347" ht="17.25" customHeight="1">
      <c r="A347" s="24"/>
      <c r="B347" s="24"/>
      <c r="C347" s="24"/>
      <c r="D347" s="81"/>
      <c r="E347" s="81"/>
      <c r="F347" s="81"/>
      <c r="G347" s="81"/>
      <c r="H347" s="81"/>
      <c r="I347" s="2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</row>
    <row r="348" ht="17.25" customHeight="1">
      <c r="A348" s="24"/>
      <c r="B348" s="24"/>
      <c r="C348" s="24"/>
      <c r="D348" s="81"/>
      <c r="E348" s="81"/>
      <c r="F348" s="81"/>
      <c r="G348" s="81"/>
      <c r="H348" s="81"/>
      <c r="I348" s="2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</row>
    <row r="349" ht="17.25" customHeight="1">
      <c r="A349" s="24"/>
      <c r="B349" s="24"/>
      <c r="C349" s="24"/>
      <c r="D349" s="81"/>
      <c r="E349" s="81"/>
      <c r="F349" s="81"/>
      <c r="G349" s="81"/>
      <c r="H349" s="81"/>
      <c r="I349" s="2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</row>
    <row r="350" ht="17.25" customHeight="1">
      <c r="A350" s="24"/>
      <c r="B350" s="24"/>
      <c r="C350" s="24"/>
      <c r="D350" s="81"/>
      <c r="E350" s="81"/>
      <c r="F350" s="81"/>
      <c r="G350" s="81"/>
      <c r="H350" s="81"/>
      <c r="I350" s="2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</row>
    <row r="351" ht="17.25" customHeight="1">
      <c r="A351" s="24"/>
      <c r="B351" s="24"/>
      <c r="C351" s="24"/>
      <c r="D351" s="81"/>
      <c r="E351" s="81"/>
      <c r="F351" s="81"/>
      <c r="G351" s="81"/>
      <c r="H351" s="81"/>
      <c r="I351" s="2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</row>
    <row r="352" ht="17.25" customHeight="1">
      <c r="A352" s="24"/>
      <c r="B352" s="24"/>
      <c r="C352" s="24"/>
      <c r="D352" s="81"/>
      <c r="E352" s="81"/>
      <c r="F352" s="81"/>
      <c r="G352" s="81"/>
      <c r="H352" s="81"/>
      <c r="I352" s="2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</row>
    <row r="353" ht="17.25" customHeight="1">
      <c r="A353" s="24"/>
      <c r="B353" s="24"/>
      <c r="C353" s="24"/>
      <c r="D353" s="81"/>
      <c r="E353" s="81"/>
      <c r="F353" s="81"/>
      <c r="G353" s="81"/>
      <c r="H353" s="81"/>
      <c r="I353" s="2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</row>
    <row r="354" ht="17.25" customHeight="1">
      <c r="A354" s="24"/>
      <c r="B354" s="24"/>
      <c r="C354" s="24"/>
      <c r="D354" s="81"/>
      <c r="E354" s="81"/>
      <c r="F354" s="81"/>
      <c r="G354" s="81"/>
      <c r="H354" s="81"/>
      <c r="I354" s="2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</row>
    <row r="355" ht="17.25" customHeight="1">
      <c r="A355" s="24"/>
      <c r="B355" s="24"/>
      <c r="C355" s="24"/>
      <c r="D355" s="81"/>
      <c r="E355" s="81"/>
      <c r="F355" s="81"/>
      <c r="G355" s="81"/>
      <c r="H355" s="81"/>
      <c r="I355" s="2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</row>
    <row r="356" ht="17.25" customHeight="1">
      <c r="A356" s="24"/>
      <c r="B356" s="24"/>
      <c r="C356" s="24"/>
      <c r="D356" s="81"/>
      <c r="E356" s="81"/>
      <c r="F356" s="81"/>
      <c r="G356" s="81"/>
      <c r="H356" s="81"/>
      <c r="I356" s="2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</row>
    <row r="357" ht="17.25" customHeight="1">
      <c r="A357" s="24"/>
      <c r="B357" s="24"/>
      <c r="C357" s="24"/>
      <c r="D357" s="81"/>
      <c r="E357" s="81"/>
      <c r="F357" s="81"/>
      <c r="G357" s="81"/>
      <c r="H357" s="81"/>
      <c r="I357" s="2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</row>
    <row r="358" ht="17.25" customHeight="1">
      <c r="A358" s="24"/>
      <c r="B358" s="24"/>
      <c r="C358" s="24"/>
      <c r="D358" s="81"/>
      <c r="E358" s="81"/>
      <c r="F358" s="81"/>
      <c r="G358" s="81"/>
      <c r="H358" s="81"/>
      <c r="I358" s="2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</row>
    <row r="359" ht="17.25" customHeight="1">
      <c r="A359" s="24"/>
      <c r="B359" s="24"/>
      <c r="C359" s="24"/>
      <c r="D359" s="81"/>
      <c r="E359" s="81"/>
      <c r="F359" s="81"/>
      <c r="G359" s="81"/>
      <c r="H359" s="81"/>
      <c r="I359" s="2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</row>
    <row r="360" ht="17.25" customHeight="1">
      <c r="A360" s="24"/>
      <c r="B360" s="24"/>
      <c r="C360" s="24"/>
      <c r="D360" s="81"/>
      <c r="E360" s="81"/>
      <c r="F360" s="81"/>
      <c r="G360" s="81"/>
      <c r="H360" s="81"/>
      <c r="I360" s="2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</row>
    <row r="361" ht="17.25" customHeight="1">
      <c r="A361" s="24"/>
      <c r="B361" s="24"/>
      <c r="C361" s="24"/>
      <c r="D361" s="81"/>
      <c r="E361" s="81"/>
      <c r="F361" s="81"/>
      <c r="G361" s="81"/>
      <c r="H361" s="81"/>
      <c r="I361" s="2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</row>
    <row r="362" ht="17.25" customHeight="1">
      <c r="A362" s="24"/>
      <c r="B362" s="24"/>
      <c r="C362" s="24"/>
      <c r="D362" s="81"/>
      <c r="E362" s="81"/>
      <c r="F362" s="81"/>
      <c r="G362" s="81"/>
      <c r="H362" s="81"/>
      <c r="I362" s="2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</row>
    <row r="363" ht="17.25" customHeight="1">
      <c r="A363" s="24"/>
      <c r="B363" s="24"/>
      <c r="C363" s="24"/>
      <c r="D363" s="81"/>
      <c r="E363" s="81"/>
      <c r="F363" s="81"/>
      <c r="G363" s="81"/>
      <c r="H363" s="81"/>
      <c r="I363" s="2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</row>
    <row r="364" ht="17.25" customHeight="1">
      <c r="A364" s="24"/>
      <c r="B364" s="24"/>
      <c r="C364" s="24"/>
      <c r="D364" s="81"/>
      <c r="E364" s="81"/>
      <c r="F364" s="81"/>
      <c r="G364" s="81"/>
      <c r="H364" s="81"/>
      <c r="I364" s="2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</row>
    <row r="365" ht="17.25" customHeight="1">
      <c r="A365" s="24"/>
      <c r="B365" s="24"/>
      <c r="C365" s="24"/>
      <c r="D365" s="81"/>
      <c r="E365" s="81"/>
      <c r="F365" s="81"/>
      <c r="G365" s="81"/>
      <c r="H365" s="81"/>
      <c r="I365" s="2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</row>
    <row r="366" ht="17.25" customHeight="1">
      <c r="A366" s="24"/>
      <c r="B366" s="24"/>
      <c r="C366" s="24"/>
      <c r="D366" s="81"/>
      <c r="E366" s="81"/>
      <c r="F366" s="81"/>
      <c r="G366" s="81"/>
      <c r="H366" s="81"/>
      <c r="I366" s="2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</row>
    <row r="367" ht="17.25" customHeight="1">
      <c r="A367" s="24"/>
      <c r="B367" s="24"/>
      <c r="C367" s="24"/>
      <c r="D367" s="81"/>
      <c r="E367" s="81"/>
      <c r="F367" s="81"/>
      <c r="G367" s="81"/>
      <c r="H367" s="81"/>
      <c r="I367" s="2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</row>
    <row r="368" ht="17.25" customHeight="1">
      <c r="A368" s="24"/>
      <c r="B368" s="24"/>
      <c r="C368" s="24"/>
      <c r="D368" s="81"/>
      <c r="E368" s="81"/>
      <c r="F368" s="81"/>
      <c r="G368" s="81"/>
      <c r="H368" s="81"/>
      <c r="I368" s="2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</row>
    <row r="369" ht="17.25" customHeight="1">
      <c r="A369" s="24"/>
      <c r="B369" s="24"/>
      <c r="C369" s="24"/>
      <c r="D369" s="81"/>
      <c r="E369" s="81"/>
      <c r="F369" s="81"/>
      <c r="G369" s="81"/>
      <c r="H369" s="81"/>
      <c r="I369" s="2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</row>
    <row r="370" ht="17.25" customHeight="1">
      <c r="A370" s="24"/>
      <c r="B370" s="24"/>
      <c r="C370" s="24"/>
      <c r="D370" s="81"/>
      <c r="E370" s="81"/>
      <c r="F370" s="81"/>
      <c r="G370" s="81"/>
      <c r="H370" s="81"/>
      <c r="I370" s="2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</row>
    <row r="371" ht="17.25" customHeight="1">
      <c r="A371" s="24"/>
      <c r="B371" s="24"/>
      <c r="C371" s="24"/>
      <c r="D371" s="81"/>
      <c r="E371" s="81"/>
      <c r="F371" s="81"/>
      <c r="G371" s="81"/>
      <c r="H371" s="81"/>
      <c r="I371" s="2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</row>
    <row r="372" ht="17.25" customHeight="1">
      <c r="A372" s="24"/>
      <c r="B372" s="24"/>
      <c r="C372" s="24"/>
      <c r="D372" s="81"/>
      <c r="E372" s="81"/>
      <c r="F372" s="81"/>
      <c r="G372" s="81"/>
      <c r="H372" s="81"/>
      <c r="I372" s="2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</row>
    <row r="373" ht="17.25" customHeight="1">
      <c r="A373" s="24"/>
      <c r="B373" s="24"/>
      <c r="C373" s="24"/>
      <c r="D373" s="81"/>
      <c r="E373" s="81"/>
      <c r="F373" s="81"/>
      <c r="G373" s="81"/>
      <c r="H373" s="81"/>
      <c r="I373" s="2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</row>
    <row r="374" ht="17.25" customHeight="1">
      <c r="A374" s="24"/>
      <c r="B374" s="24"/>
      <c r="C374" s="24"/>
      <c r="D374" s="81"/>
      <c r="E374" s="81"/>
      <c r="F374" s="81"/>
      <c r="G374" s="81"/>
      <c r="H374" s="81"/>
      <c r="I374" s="2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</row>
    <row r="375" ht="17.25" customHeight="1">
      <c r="A375" s="24"/>
      <c r="B375" s="24"/>
      <c r="C375" s="24"/>
      <c r="D375" s="81"/>
      <c r="E375" s="81"/>
      <c r="F375" s="81"/>
      <c r="G375" s="81"/>
      <c r="H375" s="81"/>
      <c r="I375" s="2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</row>
    <row r="376" ht="17.25" customHeight="1">
      <c r="A376" s="24"/>
      <c r="B376" s="24"/>
      <c r="C376" s="24"/>
      <c r="D376" s="81"/>
      <c r="E376" s="81"/>
      <c r="F376" s="81"/>
      <c r="G376" s="81"/>
      <c r="H376" s="81"/>
      <c r="I376" s="2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</row>
    <row r="377" ht="17.25" customHeight="1">
      <c r="A377" s="24"/>
      <c r="B377" s="24"/>
      <c r="C377" s="24"/>
      <c r="D377" s="81"/>
      <c r="E377" s="81"/>
      <c r="F377" s="81"/>
      <c r="G377" s="81"/>
      <c r="H377" s="81"/>
      <c r="I377" s="2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</row>
    <row r="378" ht="17.25" customHeight="1">
      <c r="A378" s="24"/>
      <c r="B378" s="24"/>
      <c r="C378" s="24"/>
      <c r="D378" s="81"/>
      <c r="E378" s="81"/>
      <c r="F378" s="81"/>
      <c r="G378" s="81"/>
      <c r="H378" s="81"/>
      <c r="I378" s="2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</row>
    <row r="379" ht="17.25" customHeight="1">
      <c r="A379" s="24"/>
      <c r="B379" s="24"/>
      <c r="C379" s="24"/>
      <c r="D379" s="81"/>
      <c r="E379" s="81"/>
      <c r="F379" s="81"/>
      <c r="G379" s="81"/>
      <c r="H379" s="81"/>
      <c r="I379" s="2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</row>
    <row r="380" ht="17.25" customHeight="1">
      <c r="A380" s="24"/>
      <c r="B380" s="24"/>
      <c r="C380" s="24"/>
      <c r="D380" s="81"/>
      <c r="E380" s="81"/>
      <c r="F380" s="81"/>
      <c r="G380" s="81"/>
      <c r="H380" s="81"/>
      <c r="I380" s="2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</row>
    <row r="381" ht="17.25" customHeight="1">
      <c r="A381" s="24"/>
      <c r="B381" s="24"/>
      <c r="C381" s="24"/>
      <c r="D381" s="81"/>
      <c r="E381" s="81"/>
      <c r="F381" s="81"/>
      <c r="G381" s="81"/>
      <c r="H381" s="81"/>
      <c r="I381" s="2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</row>
    <row r="382" ht="17.25" customHeight="1">
      <c r="A382" s="24"/>
      <c r="B382" s="24"/>
      <c r="C382" s="24"/>
      <c r="D382" s="81"/>
      <c r="E382" s="81"/>
      <c r="F382" s="81"/>
      <c r="G382" s="81"/>
      <c r="H382" s="81"/>
      <c r="I382" s="2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</row>
    <row r="383" ht="17.25" customHeight="1">
      <c r="A383" s="24"/>
      <c r="B383" s="24"/>
      <c r="C383" s="24"/>
      <c r="D383" s="81"/>
      <c r="E383" s="81"/>
      <c r="F383" s="81"/>
      <c r="G383" s="81"/>
      <c r="H383" s="81"/>
      <c r="I383" s="2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</row>
    <row r="384" ht="17.25" customHeight="1">
      <c r="A384" s="24"/>
      <c r="B384" s="24"/>
      <c r="C384" s="24"/>
      <c r="D384" s="81"/>
      <c r="E384" s="81"/>
      <c r="F384" s="81"/>
      <c r="G384" s="81"/>
      <c r="H384" s="81"/>
      <c r="I384" s="2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</row>
    <row r="385" ht="17.25" customHeight="1">
      <c r="A385" s="24"/>
      <c r="B385" s="24"/>
      <c r="C385" s="24"/>
      <c r="D385" s="81"/>
      <c r="E385" s="81"/>
      <c r="F385" s="81"/>
      <c r="G385" s="81"/>
      <c r="H385" s="81"/>
      <c r="I385" s="2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</row>
    <row r="386" ht="17.25" customHeight="1">
      <c r="A386" s="24"/>
      <c r="B386" s="24"/>
      <c r="C386" s="24"/>
      <c r="D386" s="81"/>
      <c r="E386" s="81"/>
      <c r="F386" s="81"/>
      <c r="G386" s="81"/>
      <c r="H386" s="81"/>
      <c r="I386" s="2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</row>
    <row r="387" ht="17.25" customHeight="1">
      <c r="A387" s="24"/>
      <c r="B387" s="24"/>
      <c r="C387" s="24"/>
      <c r="D387" s="81"/>
      <c r="E387" s="81"/>
      <c r="F387" s="81"/>
      <c r="G387" s="81"/>
      <c r="H387" s="81"/>
      <c r="I387" s="2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</row>
    <row r="388" ht="17.25" customHeight="1">
      <c r="A388" s="24"/>
      <c r="B388" s="24"/>
      <c r="C388" s="24"/>
      <c r="D388" s="81"/>
      <c r="E388" s="81"/>
      <c r="F388" s="81"/>
      <c r="G388" s="81"/>
      <c r="H388" s="81"/>
      <c r="I388" s="2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</row>
    <row r="389" ht="17.25" customHeight="1">
      <c r="A389" s="24"/>
      <c r="B389" s="24"/>
      <c r="C389" s="24"/>
      <c r="D389" s="81"/>
      <c r="E389" s="81"/>
      <c r="F389" s="81"/>
      <c r="G389" s="81"/>
      <c r="H389" s="81"/>
      <c r="I389" s="2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</row>
    <row r="390" ht="17.25" customHeight="1">
      <c r="A390" s="24"/>
      <c r="B390" s="24"/>
      <c r="C390" s="24"/>
      <c r="D390" s="81"/>
      <c r="E390" s="81"/>
      <c r="F390" s="81"/>
      <c r="G390" s="81"/>
      <c r="H390" s="81"/>
      <c r="I390" s="2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</row>
    <row r="391" ht="17.25" customHeight="1">
      <c r="A391" s="24"/>
      <c r="B391" s="24"/>
      <c r="C391" s="24"/>
      <c r="D391" s="81"/>
      <c r="E391" s="81"/>
      <c r="F391" s="81"/>
      <c r="G391" s="81"/>
      <c r="H391" s="81"/>
      <c r="I391" s="2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</row>
    <row r="392" ht="17.25" customHeight="1">
      <c r="A392" s="24"/>
      <c r="B392" s="24"/>
      <c r="C392" s="24"/>
      <c r="D392" s="81"/>
      <c r="E392" s="81"/>
      <c r="F392" s="81"/>
      <c r="G392" s="81"/>
      <c r="H392" s="81"/>
      <c r="I392" s="2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</row>
    <row r="393" ht="17.25" customHeight="1">
      <c r="A393" s="24"/>
      <c r="B393" s="24"/>
      <c r="C393" s="24"/>
      <c r="D393" s="81"/>
      <c r="E393" s="81"/>
      <c r="F393" s="81"/>
      <c r="G393" s="81"/>
      <c r="H393" s="81"/>
      <c r="I393" s="2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</row>
    <row r="394" ht="17.25" customHeight="1">
      <c r="A394" s="24"/>
      <c r="B394" s="24"/>
      <c r="C394" s="24"/>
      <c r="D394" s="81"/>
      <c r="E394" s="81"/>
      <c r="F394" s="81"/>
      <c r="G394" s="81"/>
      <c r="H394" s="81"/>
      <c r="I394" s="2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</row>
    <row r="395" ht="17.25" customHeight="1">
      <c r="A395" s="24"/>
      <c r="B395" s="24"/>
      <c r="C395" s="24"/>
      <c r="D395" s="81"/>
      <c r="E395" s="81"/>
      <c r="F395" s="81"/>
      <c r="G395" s="81"/>
      <c r="H395" s="81"/>
      <c r="I395" s="2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</row>
    <row r="396" ht="17.25" customHeight="1">
      <c r="A396" s="24"/>
      <c r="B396" s="24"/>
      <c r="C396" s="24"/>
      <c r="D396" s="81"/>
      <c r="E396" s="81"/>
      <c r="F396" s="81"/>
      <c r="G396" s="81"/>
      <c r="H396" s="81"/>
      <c r="I396" s="2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</row>
    <row r="397" ht="17.25" customHeight="1">
      <c r="A397" s="24"/>
      <c r="B397" s="24"/>
      <c r="C397" s="24"/>
      <c r="D397" s="81"/>
      <c r="E397" s="81"/>
      <c r="F397" s="81"/>
      <c r="G397" s="81"/>
      <c r="H397" s="81"/>
      <c r="I397" s="2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</row>
    <row r="398" ht="17.25" customHeight="1">
      <c r="A398" s="24"/>
      <c r="B398" s="24"/>
      <c r="C398" s="24"/>
      <c r="D398" s="81"/>
      <c r="E398" s="81"/>
      <c r="F398" s="81"/>
      <c r="G398" s="81"/>
      <c r="H398" s="81"/>
      <c r="I398" s="2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</row>
    <row r="399" ht="17.25" customHeight="1">
      <c r="A399" s="24"/>
      <c r="B399" s="24"/>
      <c r="C399" s="24"/>
      <c r="D399" s="81"/>
      <c r="E399" s="81"/>
      <c r="F399" s="81"/>
      <c r="G399" s="81"/>
      <c r="H399" s="81"/>
      <c r="I399" s="2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</row>
    <row r="400" ht="17.25" customHeight="1">
      <c r="A400" s="24"/>
      <c r="B400" s="24"/>
      <c r="C400" s="24"/>
      <c r="D400" s="81"/>
      <c r="E400" s="81"/>
      <c r="F400" s="81"/>
      <c r="G400" s="81"/>
      <c r="H400" s="81"/>
      <c r="I400" s="2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</row>
    <row r="401" ht="17.25" customHeight="1">
      <c r="A401" s="24"/>
      <c r="B401" s="24"/>
      <c r="C401" s="24"/>
      <c r="D401" s="81"/>
      <c r="E401" s="81"/>
      <c r="F401" s="81"/>
      <c r="G401" s="81"/>
      <c r="H401" s="81"/>
      <c r="I401" s="2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</row>
    <row r="402" ht="17.25" customHeight="1">
      <c r="A402" s="24"/>
      <c r="B402" s="24"/>
      <c r="C402" s="24"/>
      <c r="D402" s="81"/>
      <c r="E402" s="81"/>
      <c r="F402" s="81"/>
      <c r="G402" s="81"/>
      <c r="H402" s="81"/>
      <c r="I402" s="2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</row>
    <row r="403" ht="17.25" customHeight="1">
      <c r="A403" s="24"/>
      <c r="B403" s="24"/>
      <c r="C403" s="24"/>
      <c r="D403" s="81"/>
      <c r="E403" s="81"/>
      <c r="F403" s="81"/>
      <c r="G403" s="81"/>
      <c r="H403" s="81"/>
      <c r="I403" s="2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</row>
    <row r="404" ht="17.25" customHeight="1">
      <c r="A404" s="24"/>
      <c r="B404" s="24"/>
      <c r="C404" s="24"/>
      <c r="D404" s="81"/>
      <c r="E404" s="81"/>
      <c r="F404" s="81"/>
      <c r="G404" s="81"/>
      <c r="H404" s="81"/>
      <c r="I404" s="2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</row>
    <row r="405" ht="17.25" customHeight="1">
      <c r="A405" s="24"/>
      <c r="B405" s="24"/>
      <c r="C405" s="24"/>
      <c r="D405" s="81"/>
      <c r="E405" s="81"/>
      <c r="F405" s="81"/>
      <c r="G405" s="81"/>
      <c r="H405" s="81"/>
      <c r="I405" s="2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</row>
    <row r="406" ht="17.25" customHeight="1">
      <c r="A406" s="24"/>
      <c r="B406" s="24"/>
      <c r="C406" s="24"/>
      <c r="D406" s="81"/>
      <c r="E406" s="81"/>
      <c r="F406" s="81"/>
      <c r="G406" s="81"/>
      <c r="H406" s="81"/>
      <c r="I406" s="2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</row>
    <row r="407" ht="17.25" customHeight="1">
      <c r="A407" s="24"/>
      <c r="B407" s="24"/>
      <c r="C407" s="24"/>
      <c r="D407" s="81"/>
      <c r="E407" s="81"/>
      <c r="F407" s="81"/>
      <c r="G407" s="81"/>
      <c r="H407" s="81"/>
      <c r="I407" s="2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</row>
    <row r="408" ht="17.25" customHeight="1">
      <c r="A408" s="24"/>
      <c r="B408" s="24"/>
      <c r="C408" s="24"/>
      <c r="D408" s="81"/>
      <c r="E408" s="81"/>
      <c r="F408" s="81"/>
      <c r="G408" s="81"/>
      <c r="H408" s="81"/>
      <c r="I408" s="2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</row>
    <row r="409" ht="17.25" customHeight="1">
      <c r="A409" s="24"/>
      <c r="B409" s="24"/>
      <c r="C409" s="24"/>
      <c r="D409" s="81"/>
      <c r="E409" s="81"/>
      <c r="F409" s="81"/>
      <c r="G409" s="81"/>
      <c r="H409" s="81"/>
      <c r="I409" s="2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</row>
    <row r="410" ht="17.25" customHeight="1">
      <c r="A410" s="24"/>
      <c r="B410" s="24"/>
      <c r="C410" s="24"/>
      <c r="D410" s="81"/>
      <c r="E410" s="81"/>
      <c r="F410" s="81"/>
      <c r="G410" s="81"/>
      <c r="H410" s="81"/>
      <c r="I410" s="2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</row>
    <row r="411" ht="17.25" customHeight="1">
      <c r="A411" s="24"/>
      <c r="B411" s="24"/>
      <c r="C411" s="24"/>
      <c r="D411" s="81"/>
      <c r="E411" s="81"/>
      <c r="F411" s="81"/>
      <c r="G411" s="81"/>
      <c r="H411" s="81"/>
      <c r="I411" s="2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</row>
    <row r="412" ht="17.25" customHeight="1">
      <c r="A412" s="24"/>
      <c r="B412" s="24"/>
      <c r="C412" s="24"/>
      <c r="D412" s="81"/>
      <c r="E412" s="81"/>
      <c r="F412" s="81"/>
      <c r="G412" s="81"/>
      <c r="H412" s="81"/>
      <c r="I412" s="2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</row>
    <row r="413" ht="17.25" customHeight="1">
      <c r="A413" s="24"/>
      <c r="B413" s="24"/>
      <c r="C413" s="24"/>
      <c r="D413" s="81"/>
      <c r="E413" s="81"/>
      <c r="F413" s="81"/>
      <c r="G413" s="81"/>
      <c r="H413" s="81"/>
      <c r="I413" s="2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</row>
    <row r="414" ht="17.25" customHeight="1">
      <c r="A414" s="24"/>
      <c r="B414" s="24"/>
      <c r="C414" s="24"/>
      <c r="D414" s="81"/>
      <c r="E414" s="81"/>
      <c r="F414" s="81"/>
      <c r="G414" s="81"/>
      <c r="H414" s="81"/>
      <c r="I414" s="2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</row>
    <row r="415" ht="17.25" customHeight="1">
      <c r="A415" s="24"/>
      <c r="B415" s="24"/>
      <c r="C415" s="24"/>
      <c r="D415" s="81"/>
      <c r="E415" s="81"/>
      <c r="F415" s="81"/>
      <c r="G415" s="81"/>
      <c r="H415" s="81"/>
      <c r="I415" s="2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</row>
    <row r="416" ht="17.25" customHeight="1">
      <c r="A416" s="24"/>
      <c r="B416" s="24"/>
      <c r="C416" s="24"/>
      <c r="D416" s="81"/>
      <c r="E416" s="81"/>
      <c r="F416" s="81"/>
      <c r="G416" s="81"/>
      <c r="H416" s="81"/>
      <c r="I416" s="2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</row>
    <row r="417" ht="17.25" customHeight="1">
      <c r="A417" s="24"/>
      <c r="B417" s="24"/>
      <c r="C417" s="24"/>
      <c r="D417" s="81"/>
      <c r="E417" s="81"/>
      <c r="F417" s="81"/>
      <c r="G417" s="81"/>
      <c r="H417" s="81"/>
      <c r="I417" s="2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</row>
    <row r="418" ht="17.25" customHeight="1">
      <c r="A418" s="24"/>
      <c r="B418" s="24"/>
      <c r="C418" s="24"/>
      <c r="D418" s="81"/>
      <c r="E418" s="81"/>
      <c r="F418" s="81"/>
      <c r="G418" s="81"/>
      <c r="H418" s="81"/>
      <c r="I418" s="2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</row>
    <row r="419" ht="17.25" customHeight="1">
      <c r="A419" s="24"/>
      <c r="B419" s="24"/>
      <c r="C419" s="24"/>
      <c r="D419" s="81"/>
      <c r="E419" s="81"/>
      <c r="F419" s="81"/>
      <c r="G419" s="81"/>
      <c r="H419" s="81"/>
      <c r="I419" s="2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</row>
    <row r="420" ht="17.25" customHeight="1">
      <c r="A420" s="24"/>
      <c r="B420" s="24"/>
      <c r="C420" s="24"/>
      <c r="D420" s="81"/>
      <c r="E420" s="81"/>
      <c r="F420" s="81"/>
      <c r="G420" s="81"/>
      <c r="H420" s="81"/>
      <c r="I420" s="2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</row>
    <row r="421" ht="17.25" customHeight="1">
      <c r="A421" s="24"/>
      <c r="B421" s="24"/>
      <c r="C421" s="24"/>
      <c r="D421" s="81"/>
      <c r="E421" s="81"/>
      <c r="F421" s="81"/>
      <c r="G421" s="81"/>
      <c r="H421" s="81"/>
      <c r="I421" s="2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</row>
    <row r="422" ht="17.25" customHeight="1">
      <c r="A422" s="24"/>
      <c r="B422" s="24"/>
      <c r="C422" s="24"/>
      <c r="D422" s="81"/>
      <c r="E422" s="81"/>
      <c r="F422" s="81"/>
      <c r="G422" s="81"/>
      <c r="H422" s="81"/>
      <c r="I422" s="2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</row>
    <row r="423" ht="17.25" customHeight="1">
      <c r="A423" s="24"/>
      <c r="B423" s="24"/>
      <c r="C423" s="24"/>
      <c r="D423" s="81"/>
      <c r="E423" s="81"/>
      <c r="F423" s="81"/>
      <c r="G423" s="81"/>
      <c r="H423" s="81"/>
      <c r="I423" s="2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</row>
    <row r="424" ht="17.25" customHeight="1">
      <c r="A424" s="24"/>
      <c r="B424" s="24"/>
      <c r="C424" s="24"/>
      <c r="D424" s="81"/>
      <c r="E424" s="81"/>
      <c r="F424" s="81"/>
      <c r="G424" s="81"/>
      <c r="H424" s="81"/>
      <c r="I424" s="2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</row>
    <row r="425" ht="17.25" customHeight="1">
      <c r="A425" s="24"/>
      <c r="B425" s="24"/>
      <c r="C425" s="24"/>
      <c r="D425" s="81"/>
      <c r="E425" s="81"/>
      <c r="F425" s="81"/>
      <c r="G425" s="81"/>
      <c r="H425" s="81"/>
      <c r="I425" s="2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</row>
    <row r="426" ht="17.25" customHeight="1">
      <c r="A426" s="24"/>
      <c r="B426" s="24"/>
      <c r="C426" s="24"/>
      <c r="D426" s="81"/>
      <c r="E426" s="81"/>
      <c r="F426" s="81"/>
      <c r="G426" s="81"/>
      <c r="H426" s="81"/>
      <c r="I426" s="2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</row>
    <row r="427" ht="17.25" customHeight="1">
      <c r="A427" s="24"/>
      <c r="B427" s="24"/>
      <c r="C427" s="24"/>
      <c r="D427" s="81"/>
      <c r="E427" s="81"/>
      <c r="F427" s="81"/>
      <c r="G427" s="81"/>
      <c r="H427" s="81"/>
      <c r="I427" s="2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</row>
    <row r="428" ht="17.25" customHeight="1">
      <c r="A428" s="24"/>
      <c r="B428" s="24"/>
      <c r="C428" s="24"/>
      <c r="D428" s="81"/>
      <c r="E428" s="81"/>
      <c r="F428" s="81"/>
      <c r="G428" s="81"/>
      <c r="H428" s="81"/>
      <c r="I428" s="2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</row>
    <row r="429" ht="17.25" customHeight="1">
      <c r="A429" s="24"/>
      <c r="B429" s="24"/>
      <c r="C429" s="24"/>
      <c r="D429" s="81"/>
      <c r="E429" s="81"/>
      <c r="F429" s="81"/>
      <c r="G429" s="81"/>
      <c r="H429" s="81"/>
      <c r="I429" s="2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</row>
    <row r="430" ht="17.25" customHeight="1">
      <c r="A430" s="24"/>
      <c r="B430" s="24"/>
      <c r="C430" s="24"/>
      <c r="D430" s="81"/>
      <c r="E430" s="81"/>
      <c r="F430" s="81"/>
      <c r="G430" s="81"/>
      <c r="H430" s="81"/>
      <c r="I430" s="2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</row>
    <row r="431" ht="17.25" customHeight="1">
      <c r="A431" s="24"/>
      <c r="B431" s="24"/>
      <c r="C431" s="24"/>
      <c r="D431" s="81"/>
      <c r="E431" s="81"/>
      <c r="F431" s="81"/>
      <c r="G431" s="81"/>
      <c r="H431" s="81"/>
      <c r="I431" s="2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</row>
    <row r="432" ht="17.25" customHeight="1">
      <c r="A432" s="24"/>
      <c r="B432" s="24"/>
      <c r="C432" s="24"/>
      <c r="D432" s="81"/>
      <c r="E432" s="81"/>
      <c r="F432" s="81"/>
      <c r="G432" s="81"/>
      <c r="H432" s="81"/>
      <c r="I432" s="2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</row>
    <row r="433" ht="17.25" customHeight="1">
      <c r="A433" s="24"/>
      <c r="B433" s="24"/>
      <c r="C433" s="24"/>
      <c r="D433" s="81"/>
      <c r="E433" s="81"/>
      <c r="F433" s="81"/>
      <c r="G433" s="81"/>
      <c r="H433" s="81"/>
      <c r="I433" s="2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</row>
    <row r="434" ht="17.25" customHeight="1">
      <c r="A434" s="24"/>
      <c r="B434" s="24"/>
      <c r="C434" s="24"/>
      <c r="D434" s="81"/>
      <c r="E434" s="81"/>
      <c r="F434" s="81"/>
      <c r="G434" s="81"/>
      <c r="H434" s="81"/>
      <c r="I434" s="2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</row>
    <row r="435" ht="17.25" customHeight="1">
      <c r="A435" s="24"/>
      <c r="B435" s="24"/>
      <c r="C435" s="24"/>
      <c r="D435" s="81"/>
      <c r="E435" s="81"/>
      <c r="F435" s="81"/>
      <c r="G435" s="81"/>
      <c r="H435" s="81"/>
      <c r="I435" s="2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</row>
    <row r="436" ht="17.25" customHeight="1">
      <c r="A436" s="24"/>
      <c r="B436" s="24"/>
      <c r="C436" s="24"/>
      <c r="D436" s="81"/>
      <c r="E436" s="81"/>
      <c r="F436" s="81"/>
      <c r="G436" s="81"/>
      <c r="H436" s="81"/>
      <c r="I436" s="2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</row>
    <row r="437" ht="17.25" customHeight="1">
      <c r="A437" s="24"/>
      <c r="B437" s="24"/>
      <c r="C437" s="24"/>
      <c r="D437" s="81"/>
      <c r="E437" s="81"/>
      <c r="F437" s="81"/>
      <c r="G437" s="81"/>
      <c r="H437" s="81"/>
      <c r="I437" s="2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</row>
    <row r="438" ht="17.25" customHeight="1">
      <c r="A438" s="24"/>
      <c r="B438" s="24"/>
      <c r="C438" s="24"/>
      <c r="D438" s="81"/>
      <c r="E438" s="81"/>
      <c r="F438" s="81"/>
      <c r="G438" s="81"/>
      <c r="H438" s="81"/>
      <c r="I438" s="2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</row>
    <row r="439" ht="17.25" customHeight="1">
      <c r="A439" s="24"/>
      <c r="B439" s="24"/>
      <c r="C439" s="24"/>
      <c r="D439" s="81"/>
      <c r="E439" s="81"/>
      <c r="F439" s="81"/>
      <c r="G439" s="81"/>
      <c r="H439" s="81"/>
      <c r="I439" s="2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</row>
    <row r="440" ht="17.25" customHeight="1">
      <c r="A440" s="24"/>
      <c r="B440" s="24"/>
      <c r="C440" s="24"/>
      <c r="D440" s="81"/>
      <c r="E440" s="81"/>
      <c r="F440" s="81"/>
      <c r="G440" s="81"/>
      <c r="H440" s="81"/>
      <c r="I440" s="2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</row>
    <row r="441" ht="17.25" customHeight="1">
      <c r="A441" s="24"/>
      <c r="B441" s="24"/>
      <c r="C441" s="24"/>
      <c r="D441" s="81"/>
      <c r="E441" s="81"/>
      <c r="F441" s="81"/>
      <c r="G441" s="81"/>
      <c r="H441" s="81"/>
      <c r="I441" s="2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</row>
    <row r="442" ht="17.25" customHeight="1">
      <c r="A442" s="24"/>
      <c r="B442" s="24"/>
      <c r="C442" s="24"/>
      <c r="D442" s="81"/>
      <c r="E442" s="81"/>
      <c r="F442" s="81"/>
      <c r="G442" s="81"/>
      <c r="H442" s="81"/>
      <c r="I442" s="2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</row>
    <row r="443" ht="17.25" customHeight="1">
      <c r="A443" s="24"/>
      <c r="B443" s="24"/>
      <c r="C443" s="24"/>
      <c r="D443" s="81"/>
      <c r="E443" s="81"/>
      <c r="F443" s="81"/>
      <c r="G443" s="81"/>
      <c r="H443" s="81"/>
      <c r="I443" s="2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</row>
    <row r="444" ht="17.25" customHeight="1">
      <c r="A444" s="24"/>
      <c r="B444" s="24"/>
      <c r="C444" s="24"/>
      <c r="D444" s="81"/>
      <c r="E444" s="81"/>
      <c r="F444" s="81"/>
      <c r="G444" s="81"/>
      <c r="H444" s="81"/>
      <c r="I444" s="2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</row>
    <row r="445" ht="17.25" customHeight="1">
      <c r="A445" s="24"/>
      <c r="B445" s="24"/>
      <c r="C445" s="24"/>
      <c r="D445" s="81"/>
      <c r="E445" s="81"/>
      <c r="F445" s="81"/>
      <c r="G445" s="81"/>
      <c r="H445" s="81"/>
      <c r="I445" s="2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</row>
    <row r="446" ht="17.25" customHeight="1">
      <c r="A446" s="24"/>
      <c r="B446" s="24"/>
      <c r="C446" s="24"/>
      <c r="D446" s="81"/>
      <c r="E446" s="81"/>
      <c r="F446" s="81"/>
      <c r="G446" s="81"/>
      <c r="H446" s="81"/>
      <c r="I446" s="2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</row>
    <row r="447" ht="17.25" customHeight="1">
      <c r="A447" s="24"/>
      <c r="B447" s="24"/>
      <c r="C447" s="24"/>
      <c r="D447" s="81"/>
      <c r="E447" s="81"/>
      <c r="F447" s="81"/>
      <c r="G447" s="81"/>
      <c r="H447" s="81"/>
      <c r="I447" s="2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</row>
    <row r="448" ht="17.25" customHeight="1">
      <c r="A448" s="24"/>
      <c r="B448" s="24"/>
      <c r="C448" s="24"/>
      <c r="D448" s="81"/>
      <c r="E448" s="81"/>
      <c r="F448" s="81"/>
      <c r="G448" s="81"/>
      <c r="H448" s="81"/>
      <c r="I448" s="2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</row>
    <row r="449" ht="17.25" customHeight="1">
      <c r="A449" s="24"/>
      <c r="B449" s="24"/>
      <c r="C449" s="24"/>
      <c r="D449" s="81"/>
      <c r="E449" s="81"/>
      <c r="F449" s="81"/>
      <c r="G449" s="81"/>
      <c r="H449" s="81"/>
      <c r="I449" s="2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</row>
    <row r="450" ht="17.25" customHeight="1">
      <c r="A450" s="24"/>
      <c r="B450" s="24"/>
      <c r="C450" s="24"/>
      <c r="D450" s="81"/>
      <c r="E450" s="81"/>
      <c r="F450" s="81"/>
      <c r="G450" s="81"/>
      <c r="H450" s="81"/>
      <c r="I450" s="2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</row>
    <row r="451" ht="17.25" customHeight="1">
      <c r="A451" s="24"/>
      <c r="B451" s="24"/>
      <c r="C451" s="24"/>
      <c r="D451" s="81"/>
      <c r="E451" s="81"/>
      <c r="F451" s="81"/>
      <c r="G451" s="81"/>
      <c r="H451" s="81"/>
      <c r="I451" s="2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</row>
    <row r="452" ht="17.25" customHeight="1">
      <c r="A452" s="24"/>
      <c r="B452" s="24"/>
      <c r="C452" s="24"/>
      <c r="D452" s="81"/>
      <c r="E452" s="81"/>
      <c r="F452" s="81"/>
      <c r="G452" s="81"/>
      <c r="H452" s="81"/>
      <c r="I452" s="2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</row>
    <row r="453" ht="17.25" customHeight="1">
      <c r="A453" s="24"/>
      <c r="B453" s="24"/>
      <c r="C453" s="24"/>
      <c r="D453" s="81"/>
      <c r="E453" s="81"/>
      <c r="F453" s="81"/>
      <c r="G453" s="81"/>
      <c r="H453" s="81"/>
      <c r="I453" s="2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</row>
    <row r="454" ht="17.25" customHeight="1">
      <c r="A454" s="24"/>
      <c r="B454" s="24"/>
      <c r="C454" s="24"/>
      <c r="D454" s="81"/>
      <c r="E454" s="81"/>
      <c r="F454" s="81"/>
      <c r="G454" s="81"/>
      <c r="H454" s="81"/>
      <c r="I454" s="2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</row>
    <row r="455" ht="17.25" customHeight="1">
      <c r="A455" s="24"/>
      <c r="B455" s="24"/>
      <c r="C455" s="24"/>
      <c r="D455" s="81"/>
      <c r="E455" s="81"/>
      <c r="F455" s="81"/>
      <c r="G455" s="81"/>
      <c r="H455" s="81"/>
      <c r="I455" s="2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</row>
    <row r="456" ht="17.25" customHeight="1">
      <c r="A456" s="24"/>
      <c r="B456" s="24"/>
      <c r="C456" s="24"/>
      <c r="D456" s="81"/>
      <c r="E456" s="81"/>
      <c r="F456" s="81"/>
      <c r="G456" s="81"/>
      <c r="H456" s="81"/>
      <c r="I456" s="2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</row>
    <row r="457" ht="17.25" customHeight="1">
      <c r="A457" s="24"/>
      <c r="B457" s="24"/>
      <c r="C457" s="24"/>
      <c r="D457" s="81"/>
      <c r="E457" s="81"/>
      <c r="F457" s="81"/>
      <c r="G457" s="81"/>
      <c r="H457" s="81"/>
      <c r="I457" s="2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</row>
    <row r="458" ht="17.25" customHeight="1">
      <c r="A458" s="24"/>
      <c r="B458" s="24"/>
      <c r="C458" s="24"/>
      <c r="D458" s="81"/>
      <c r="E458" s="81"/>
      <c r="F458" s="81"/>
      <c r="G458" s="81"/>
      <c r="H458" s="81"/>
      <c r="I458" s="2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</row>
    <row r="459" ht="17.25" customHeight="1">
      <c r="A459" s="24"/>
      <c r="B459" s="24"/>
      <c r="C459" s="24"/>
      <c r="D459" s="81"/>
      <c r="E459" s="81"/>
      <c r="F459" s="81"/>
      <c r="G459" s="81"/>
      <c r="H459" s="81"/>
      <c r="I459" s="2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</row>
    <row r="460" ht="17.25" customHeight="1">
      <c r="A460" s="24"/>
      <c r="B460" s="24"/>
      <c r="C460" s="24"/>
      <c r="D460" s="81"/>
      <c r="E460" s="81"/>
      <c r="F460" s="81"/>
      <c r="G460" s="81"/>
      <c r="H460" s="81"/>
      <c r="I460" s="2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</row>
    <row r="461" ht="17.25" customHeight="1">
      <c r="A461" s="24"/>
      <c r="B461" s="24"/>
      <c r="C461" s="24"/>
      <c r="D461" s="81"/>
      <c r="E461" s="81"/>
      <c r="F461" s="81"/>
      <c r="G461" s="81"/>
      <c r="H461" s="81"/>
      <c r="I461" s="2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</row>
    <row r="462" ht="17.25" customHeight="1">
      <c r="A462" s="24"/>
      <c r="B462" s="24"/>
      <c r="C462" s="24"/>
      <c r="D462" s="81"/>
      <c r="E462" s="81"/>
      <c r="F462" s="81"/>
      <c r="G462" s="81"/>
      <c r="H462" s="81"/>
      <c r="I462" s="2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</row>
    <row r="463" ht="17.25" customHeight="1">
      <c r="A463" s="24"/>
      <c r="B463" s="24"/>
      <c r="C463" s="24"/>
      <c r="D463" s="81"/>
      <c r="E463" s="81"/>
      <c r="F463" s="81"/>
      <c r="G463" s="81"/>
      <c r="H463" s="81"/>
      <c r="I463" s="2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</row>
    <row r="464" ht="17.25" customHeight="1">
      <c r="A464" s="24"/>
      <c r="B464" s="24"/>
      <c r="C464" s="24"/>
      <c r="D464" s="81"/>
      <c r="E464" s="81"/>
      <c r="F464" s="81"/>
      <c r="G464" s="81"/>
      <c r="H464" s="81"/>
      <c r="I464" s="2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</row>
    <row r="465" ht="17.25" customHeight="1">
      <c r="A465" s="24"/>
      <c r="B465" s="24"/>
      <c r="C465" s="24"/>
      <c r="D465" s="81"/>
      <c r="E465" s="81"/>
      <c r="F465" s="81"/>
      <c r="G465" s="81"/>
      <c r="H465" s="81"/>
      <c r="I465" s="2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</row>
    <row r="466" ht="17.25" customHeight="1">
      <c r="A466" s="24"/>
      <c r="B466" s="24"/>
      <c r="C466" s="24"/>
      <c r="D466" s="81"/>
      <c r="E466" s="81"/>
      <c r="F466" s="81"/>
      <c r="G466" s="81"/>
      <c r="H466" s="81"/>
      <c r="I466" s="2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</row>
    <row r="467" ht="17.25" customHeight="1">
      <c r="A467" s="24"/>
      <c r="B467" s="24"/>
      <c r="C467" s="24"/>
      <c r="D467" s="81"/>
      <c r="E467" s="81"/>
      <c r="F467" s="81"/>
      <c r="G467" s="81"/>
      <c r="H467" s="81"/>
      <c r="I467" s="2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</row>
    <row r="468" ht="17.25" customHeight="1">
      <c r="A468" s="24"/>
      <c r="B468" s="24"/>
      <c r="C468" s="24"/>
      <c r="D468" s="81"/>
      <c r="E468" s="81"/>
      <c r="F468" s="81"/>
      <c r="G468" s="81"/>
      <c r="H468" s="81"/>
      <c r="I468" s="2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</row>
    <row r="469" ht="17.25" customHeight="1">
      <c r="A469" s="24"/>
      <c r="B469" s="24"/>
      <c r="C469" s="24"/>
      <c r="D469" s="81"/>
      <c r="E469" s="81"/>
      <c r="F469" s="81"/>
      <c r="G469" s="81"/>
      <c r="H469" s="81"/>
      <c r="I469" s="2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</row>
    <row r="470" ht="17.25" customHeight="1">
      <c r="A470" s="24"/>
      <c r="B470" s="24"/>
      <c r="C470" s="24"/>
      <c r="D470" s="81"/>
      <c r="E470" s="81"/>
      <c r="F470" s="81"/>
      <c r="G470" s="81"/>
      <c r="H470" s="81"/>
      <c r="I470" s="2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</row>
    <row r="471" ht="17.25" customHeight="1">
      <c r="A471" s="24"/>
      <c r="B471" s="24"/>
      <c r="C471" s="24"/>
      <c r="D471" s="81"/>
      <c r="E471" s="81"/>
      <c r="F471" s="81"/>
      <c r="G471" s="81"/>
      <c r="H471" s="81"/>
      <c r="I471" s="2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</row>
    <row r="472" ht="17.25" customHeight="1">
      <c r="A472" s="24"/>
      <c r="B472" s="24"/>
      <c r="C472" s="24"/>
      <c r="D472" s="81"/>
      <c r="E472" s="81"/>
      <c r="F472" s="81"/>
      <c r="G472" s="81"/>
      <c r="H472" s="81"/>
      <c r="I472" s="2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</row>
    <row r="473" ht="17.25" customHeight="1">
      <c r="A473" s="24"/>
      <c r="B473" s="24"/>
      <c r="C473" s="24"/>
      <c r="D473" s="81"/>
      <c r="E473" s="81"/>
      <c r="F473" s="81"/>
      <c r="G473" s="81"/>
      <c r="H473" s="81"/>
      <c r="I473" s="2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</row>
    <row r="474" ht="17.25" customHeight="1">
      <c r="A474" s="24"/>
      <c r="B474" s="24"/>
      <c r="C474" s="24"/>
      <c r="D474" s="81"/>
      <c r="E474" s="81"/>
      <c r="F474" s="81"/>
      <c r="G474" s="81"/>
      <c r="H474" s="81"/>
      <c r="I474" s="2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</row>
    <row r="475" ht="17.25" customHeight="1">
      <c r="A475" s="24"/>
      <c r="B475" s="24"/>
      <c r="C475" s="24"/>
      <c r="D475" s="81"/>
      <c r="E475" s="81"/>
      <c r="F475" s="81"/>
      <c r="G475" s="81"/>
      <c r="H475" s="81"/>
      <c r="I475" s="2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</row>
    <row r="476" ht="17.25" customHeight="1">
      <c r="A476" s="24"/>
      <c r="B476" s="24"/>
      <c r="C476" s="24"/>
      <c r="D476" s="81"/>
      <c r="E476" s="81"/>
      <c r="F476" s="81"/>
      <c r="G476" s="81"/>
      <c r="H476" s="81"/>
      <c r="I476" s="2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</row>
    <row r="477" ht="17.25" customHeight="1">
      <c r="A477" s="24"/>
      <c r="B477" s="24"/>
      <c r="C477" s="24"/>
      <c r="D477" s="81"/>
      <c r="E477" s="81"/>
      <c r="F477" s="81"/>
      <c r="G477" s="81"/>
      <c r="H477" s="81"/>
      <c r="I477" s="2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</row>
    <row r="478" ht="17.25" customHeight="1">
      <c r="A478" s="24"/>
      <c r="B478" s="24"/>
      <c r="C478" s="24"/>
      <c r="D478" s="81"/>
      <c r="E478" s="81"/>
      <c r="F478" s="81"/>
      <c r="G478" s="81"/>
      <c r="H478" s="81"/>
      <c r="I478" s="2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</row>
    <row r="479" ht="17.25" customHeight="1">
      <c r="A479" s="24"/>
      <c r="B479" s="24"/>
      <c r="C479" s="24"/>
      <c r="D479" s="81"/>
      <c r="E479" s="81"/>
      <c r="F479" s="81"/>
      <c r="G479" s="81"/>
      <c r="H479" s="81"/>
      <c r="I479" s="2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</row>
    <row r="480" ht="17.25" customHeight="1">
      <c r="A480" s="24"/>
      <c r="B480" s="24"/>
      <c r="C480" s="24"/>
      <c r="D480" s="81"/>
      <c r="E480" s="81"/>
      <c r="F480" s="81"/>
      <c r="G480" s="81"/>
      <c r="H480" s="81"/>
      <c r="I480" s="2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</row>
    <row r="481" ht="17.25" customHeight="1">
      <c r="A481" s="24"/>
      <c r="B481" s="24"/>
      <c r="C481" s="24"/>
      <c r="D481" s="81"/>
      <c r="E481" s="81"/>
      <c r="F481" s="81"/>
      <c r="G481" s="81"/>
      <c r="H481" s="81"/>
      <c r="I481" s="2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</row>
    <row r="482" ht="17.25" customHeight="1">
      <c r="A482" s="24"/>
      <c r="B482" s="24"/>
      <c r="C482" s="24"/>
      <c r="D482" s="81"/>
      <c r="E482" s="81"/>
      <c r="F482" s="81"/>
      <c r="G482" s="81"/>
      <c r="H482" s="81"/>
      <c r="I482" s="2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</row>
    <row r="483" ht="17.25" customHeight="1">
      <c r="A483" s="24"/>
      <c r="B483" s="24"/>
      <c r="C483" s="24"/>
      <c r="D483" s="81"/>
      <c r="E483" s="81"/>
      <c r="F483" s="81"/>
      <c r="G483" s="81"/>
      <c r="H483" s="81"/>
      <c r="I483" s="2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</row>
    <row r="484" ht="17.25" customHeight="1">
      <c r="A484" s="24"/>
      <c r="B484" s="24"/>
      <c r="C484" s="24"/>
      <c r="D484" s="81"/>
      <c r="E484" s="81"/>
      <c r="F484" s="81"/>
      <c r="G484" s="81"/>
      <c r="H484" s="81"/>
      <c r="I484" s="2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</row>
    <row r="485" ht="17.25" customHeight="1">
      <c r="A485" s="24"/>
      <c r="B485" s="24"/>
      <c r="C485" s="24"/>
      <c r="D485" s="81"/>
      <c r="E485" s="81"/>
      <c r="F485" s="81"/>
      <c r="G485" s="81"/>
      <c r="H485" s="81"/>
      <c r="I485" s="2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</row>
    <row r="486" ht="17.25" customHeight="1">
      <c r="A486" s="24"/>
      <c r="B486" s="24"/>
      <c r="C486" s="24"/>
      <c r="D486" s="81"/>
      <c r="E486" s="81"/>
      <c r="F486" s="81"/>
      <c r="G486" s="81"/>
      <c r="H486" s="81"/>
      <c r="I486" s="2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</row>
    <row r="487" ht="17.25" customHeight="1">
      <c r="A487" s="24"/>
      <c r="B487" s="24"/>
      <c r="C487" s="24"/>
      <c r="D487" s="81"/>
      <c r="E487" s="81"/>
      <c r="F487" s="81"/>
      <c r="G487" s="81"/>
      <c r="H487" s="81"/>
      <c r="I487" s="2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</row>
    <row r="488" ht="17.25" customHeight="1">
      <c r="A488" s="24"/>
      <c r="B488" s="24"/>
      <c r="C488" s="24"/>
      <c r="D488" s="81"/>
      <c r="E488" s="81"/>
      <c r="F488" s="81"/>
      <c r="G488" s="81"/>
      <c r="H488" s="81"/>
      <c r="I488" s="2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</row>
    <row r="489" ht="17.25" customHeight="1">
      <c r="A489" s="24"/>
      <c r="B489" s="24"/>
      <c r="C489" s="24"/>
      <c r="D489" s="81"/>
      <c r="E489" s="81"/>
      <c r="F489" s="81"/>
      <c r="G489" s="81"/>
      <c r="H489" s="81"/>
      <c r="I489" s="2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</row>
    <row r="490" ht="17.25" customHeight="1">
      <c r="A490" s="24"/>
      <c r="B490" s="24"/>
      <c r="C490" s="24"/>
      <c r="D490" s="81"/>
      <c r="E490" s="81"/>
      <c r="F490" s="81"/>
      <c r="G490" s="81"/>
      <c r="H490" s="81"/>
      <c r="I490" s="2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</row>
    <row r="491" ht="17.25" customHeight="1">
      <c r="A491" s="24"/>
      <c r="B491" s="24"/>
      <c r="C491" s="24"/>
      <c r="D491" s="81"/>
      <c r="E491" s="81"/>
      <c r="F491" s="81"/>
      <c r="G491" s="81"/>
      <c r="H491" s="81"/>
      <c r="I491" s="2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</row>
    <row r="492" ht="17.25" customHeight="1">
      <c r="A492" s="24"/>
      <c r="B492" s="24"/>
      <c r="C492" s="24"/>
      <c r="D492" s="81"/>
      <c r="E492" s="81"/>
      <c r="F492" s="81"/>
      <c r="G492" s="81"/>
      <c r="H492" s="81"/>
      <c r="I492" s="2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</row>
    <row r="493" ht="17.25" customHeight="1">
      <c r="A493" s="24"/>
      <c r="B493" s="24"/>
      <c r="C493" s="24"/>
      <c r="D493" s="81"/>
      <c r="E493" s="81"/>
      <c r="F493" s="81"/>
      <c r="G493" s="81"/>
      <c r="H493" s="81"/>
      <c r="I493" s="2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</row>
    <row r="494" ht="17.25" customHeight="1">
      <c r="A494" s="24"/>
      <c r="B494" s="24"/>
      <c r="C494" s="24"/>
      <c r="D494" s="81"/>
      <c r="E494" s="81"/>
      <c r="F494" s="81"/>
      <c r="G494" s="81"/>
      <c r="H494" s="81"/>
      <c r="I494" s="2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</row>
    <row r="495" ht="17.25" customHeight="1">
      <c r="A495" s="24"/>
      <c r="B495" s="24"/>
      <c r="C495" s="24"/>
      <c r="D495" s="81"/>
      <c r="E495" s="81"/>
      <c r="F495" s="81"/>
      <c r="G495" s="81"/>
      <c r="H495" s="81"/>
      <c r="I495" s="2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</row>
    <row r="496" ht="17.25" customHeight="1">
      <c r="A496" s="24"/>
      <c r="B496" s="24"/>
      <c r="C496" s="24"/>
      <c r="D496" s="81"/>
      <c r="E496" s="81"/>
      <c r="F496" s="81"/>
      <c r="G496" s="81"/>
      <c r="H496" s="81"/>
      <c r="I496" s="2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</row>
    <row r="497" ht="17.25" customHeight="1">
      <c r="A497" s="24"/>
      <c r="B497" s="24"/>
      <c r="C497" s="24"/>
      <c r="D497" s="81"/>
      <c r="E497" s="81"/>
      <c r="F497" s="81"/>
      <c r="G497" s="81"/>
      <c r="H497" s="81"/>
      <c r="I497" s="2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</row>
    <row r="498" ht="17.25" customHeight="1">
      <c r="A498" s="24"/>
      <c r="B498" s="24"/>
      <c r="C498" s="24"/>
      <c r="D498" s="81"/>
      <c r="E498" s="81"/>
      <c r="F498" s="81"/>
      <c r="G498" s="81"/>
      <c r="H498" s="81"/>
      <c r="I498" s="2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</row>
    <row r="499" ht="17.25" customHeight="1">
      <c r="A499" s="24"/>
      <c r="B499" s="24"/>
      <c r="C499" s="24"/>
      <c r="D499" s="81"/>
      <c r="E499" s="81"/>
      <c r="F499" s="81"/>
      <c r="G499" s="81"/>
      <c r="H499" s="81"/>
      <c r="I499" s="2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</row>
    <row r="500" ht="17.25" customHeight="1">
      <c r="A500" s="24"/>
      <c r="B500" s="24"/>
      <c r="C500" s="24"/>
      <c r="D500" s="81"/>
      <c r="E500" s="81"/>
      <c r="F500" s="81"/>
      <c r="G500" s="81"/>
      <c r="H500" s="81"/>
      <c r="I500" s="2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</row>
    <row r="501" ht="17.25" customHeight="1">
      <c r="A501" s="24"/>
      <c r="B501" s="24"/>
      <c r="C501" s="24"/>
      <c r="D501" s="81"/>
      <c r="E501" s="81"/>
      <c r="F501" s="81"/>
      <c r="G501" s="81"/>
      <c r="H501" s="81"/>
      <c r="I501" s="2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</row>
    <row r="502" ht="17.25" customHeight="1">
      <c r="A502" s="24"/>
      <c r="B502" s="24"/>
      <c r="C502" s="24"/>
      <c r="D502" s="81"/>
      <c r="E502" s="81"/>
      <c r="F502" s="81"/>
      <c r="G502" s="81"/>
      <c r="H502" s="81"/>
      <c r="I502" s="2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</row>
    <row r="503" ht="17.25" customHeight="1">
      <c r="A503" s="24"/>
      <c r="B503" s="24"/>
      <c r="C503" s="24"/>
      <c r="D503" s="81"/>
      <c r="E503" s="81"/>
      <c r="F503" s="81"/>
      <c r="G503" s="81"/>
      <c r="H503" s="81"/>
      <c r="I503" s="2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</row>
    <row r="504" ht="17.25" customHeight="1">
      <c r="A504" s="24"/>
      <c r="B504" s="24"/>
      <c r="C504" s="24"/>
      <c r="D504" s="81"/>
      <c r="E504" s="81"/>
      <c r="F504" s="81"/>
      <c r="G504" s="81"/>
      <c r="H504" s="81"/>
      <c r="I504" s="2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</row>
    <row r="505" ht="17.25" customHeight="1">
      <c r="A505" s="24"/>
      <c r="B505" s="24"/>
      <c r="C505" s="24"/>
      <c r="D505" s="81"/>
      <c r="E505" s="81"/>
      <c r="F505" s="81"/>
      <c r="G505" s="81"/>
      <c r="H505" s="81"/>
      <c r="I505" s="2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</row>
    <row r="506" ht="17.25" customHeight="1">
      <c r="A506" s="24"/>
      <c r="B506" s="24"/>
      <c r="C506" s="24"/>
      <c r="D506" s="81"/>
      <c r="E506" s="81"/>
      <c r="F506" s="81"/>
      <c r="G506" s="81"/>
      <c r="H506" s="81"/>
      <c r="I506" s="2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</row>
    <row r="507" ht="17.25" customHeight="1">
      <c r="A507" s="24"/>
      <c r="B507" s="24"/>
      <c r="C507" s="24"/>
      <c r="D507" s="81"/>
      <c r="E507" s="81"/>
      <c r="F507" s="81"/>
      <c r="G507" s="81"/>
      <c r="H507" s="81"/>
      <c r="I507" s="2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</row>
    <row r="508" ht="17.25" customHeight="1">
      <c r="A508" s="24"/>
      <c r="B508" s="24"/>
      <c r="C508" s="24"/>
      <c r="D508" s="81"/>
      <c r="E508" s="81"/>
      <c r="F508" s="81"/>
      <c r="G508" s="81"/>
      <c r="H508" s="81"/>
      <c r="I508" s="2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</row>
    <row r="509" ht="17.25" customHeight="1">
      <c r="A509" s="24"/>
      <c r="B509" s="24"/>
      <c r="C509" s="24"/>
      <c r="D509" s="81"/>
      <c r="E509" s="81"/>
      <c r="F509" s="81"/>
      <c r="G509" s="81"/>
      <c r="H509" s="81"/>
      <c r="I509" s="2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</row>
    <row r="510" ht="17.25" customHeight="1">
      <c r="A510" s="24"/>
      <c r="B510" s="24"/>
      <c r="C510" s="24"/>
      <c r="D510" s="81"/>
      <c r="E510" s="81"/>
      <c r="F510" s="81"/>
      <c r="G510" s="81"/>
      <c r="H510" s="81"/>
      <c r="I510" s="2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</row>
    <row r="511" ht="17.25" customHeight="1">
      <c r="A511" s="24"/>
      <c r="B511" s="24"/>
      <c r="C511" s="24"/>
      <c r="D511" s="81"/>
      <c r="E511" s="81"/>
      <c r="F511" s="81"/>
      <c r="G511" s="81"/>
      <c r="H511" s="81"/>
      <c r="I511" s="2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</row>
    <row r="512" ht="17.25" customHeight="1">
      <c r="A512" s="24"/>
      <c r="B512" s="24"/>
      <c r="C512" s="24"/>
      <c r="D512" s="81"/>
      <c r="E512" s="81"/>
      <c r="F512" s="81"/>
      <c r="G512" s="81"/>
      <c r="H512" s="81"/>
      <c r="I512" s="2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</row>
    <row r="513" ht="17.25" customHeight="1">
      <c r="A513" s="24"/>
      <c r="B513" s="24"/>
      <c r="C513" s="24"/>
      <c r="D513" s="81"/>
      <c r="E513" s="81"/>
      <c r="F513" s="81"/>
      <c r="G513" s="81"/>
      <c r="H513" s="81"/>
      <c r="I513" s="2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</row>
    <row r="514" ht="17.25" customHeight="1">
      <c r="A514" s="24"/>
      <c r="B514" s="24"/>
      <c r="C514" s="24"/>
      <c r="D514" s="81"/>
      <c r="E514" s="81"/>
      <c r="F514" s="81"/>
      <c r="G514" s="81"/>
      <c r="H514" s="81"/>
      <c r="I514" s="2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</row>
    <row r="515" ht="17.25" customHeight="1">
      <c r="A515" s="24"/>
      <c r="B515" s="24"/>
      <c r="C515" s="24"/>
      <c r="D515" s="81"/>
      <c r="E515" s="81"/>
      <c r="F515" s="81"/>
      <c r="G515" s="81"/>
      <c r="H515" s="81"/>
      <c r="I515" s="2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</row>
    <row r="516" ht="17.25" customHeight="1">
      <c r="A516" s="24"/>
      <c r="B516" s="24"/>
      <c r="C516" s="24"/>
      <c r="D516" s="81"/>
      <c r="E516" s="81"/>
      <c r="F516" s="81"/>
      <c r="G516" s="81"/>
      <c r="H516" s="81"/>
      <c r="I516" s="2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</row>
    <row r="517" ht="17.25" customHeight="1">
      <c r="A517" s="24"/>
      <c r="B517" s="24"/>
      <c r="C517" s="24"/>
      <c r="D517" s="81"/>
      <c r="E517" s="81"/>
      <c r="F517" s="81"/>
      <c r="G517" s="81"/>
      <c r="H517" s="81"/>
      <c r="I517" s="2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</row>
    <row r="518" ht="17.25" customHeight="1">
      <c r="A518" s="24"/>
      <c r="B518" s="24"/>
      <c r="C518" s="24"/>
      <c r="D518" s="81"/>
      <c r="E518" s="81"/>
      <c r="F518" s="81"/>
      <c r="G518" s="81"/>
      <c r="H518" s="81"/>
      <c r="I518" s="2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</row>
    <row r="519" ht="17.25" customHeight="1">
      <c r="A519" s="24"/>
      <c r="B519" s="24"/>
      <c r="C519" s="24"/>
      <c r="D519" s="81"/>
      <c r="E519" s="81"/>
      <c r="F519" s="81"/>
      <c r="G519" s="81"/>
      <c r="H519" s="81"/>
      <c r="I519" s="2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</row>
    <row r="520" ht="17.25" customHeight="1">
      <c r="A520" s="24"/>
      <c r="B520" s="24"/>
      <c r="C520" s="24"/>
      <c r="D520" s="81"/>
      <c r="E520" s="81"/>
      <c r="F520" s="81"/>
      <c r="G520" s="81"/>
      <c r="H520" s="81"/>
      <c r="I520" s="2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</row>
    <row r="521" ht="17.25" customHeight="1">
      <c r="A521" s="24"/>
      <c r="B521" s="24"/>
      <c r="C521" s="24"/>
      <c r="D521" s="81"/>
      <c r="E521" s="81"/>
      <c r="F521" s="81"/>
      <c r="G521" s="81"/>
      <c r="H521" s="81"/>
      <c r="I521" s="2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</row>
    <row r="522" ht="17.25" customHeight="1">
      <c r="A522" s="24"/>
      <c r="B522" s="24"/>
      <c r="C522" s="24"/>
      <c r="D522" s="81"/>
      <c r="E522" s="81"/>
      <c r="F522" s="81"/>
      <c r="G522" s="81"/>
      <c r="H522" s="81"/>
      <c r="I522" s="2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</row>
    <row r="523" ht="17.25" customHeight="1">
      <c r="A523" s="24"/>
      <c r="B523" s="24"/>
      <c r="C523" s="24"/>
      <c r="D523" s="81"/>
      <c r="E523" s="81"/>
      <c r="F523" s="81"/>
      <c r="G523" s="81"/>
      <c r="H523" s="81"/>
      <c r="I523" s="2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</row>
    <row r="524" ht="17.25" customHeight="1">
      <c r="A524" s="24"/>
      <c r="B524" s="24"/>
      <c r="C524" s="24"/>
      <c r="D524" s="81"/>
      <c r="E524" s="81"/>
      <c r="F524" s="81"/>
      <c r="G524" s="81"/>
      <c r="H524" s="81"/>
      <c r="I524" s="2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</row>
    <row r="525" ht="17.25" customHeight="1">
      <c r="A525" s="24"/>
      <c r="B525" s="24"/>
      <c r="C525" s="24"/>
      <c r="D525" s="81"/>
      <c r="E525" s="81"/>
      <c r="F525" s="81"/>
      <c r="G525" s="81"/>
      <c r="H525" s="81"/>
      <c r="I525" s="2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</row>
    <row r="526" ht="17.25" customHeight="1">
      <c r="A526" s="24"/>
      <c r="B526" s="24"/>
      <c r="C526" s="24"/>
      <c r="D526" s="81"/>
      <c r="E526" s="81"/>
      <c r="F526" s="81"/>
      <c r="G526" s="81"/>
      <c r="H526" s="81"/>
      <c r="I526" s="2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</row>
    <row r="527" ht="17.25" customHeight="1">
      <c r="A527" s="24"/>
      <c r="B527" s="24"/>
      <c r="C527" s="24"/>
      <c r="D527" s="81"/>
      <c r="E527" s="81"/>
      <c r="F527" s="81"/>
      <c r="G527" s="81"/>
      <c r="H527" s="81"/>
      <c r="I527" s="2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</row>
    <row r="528" ht="17.25" customHeight="1">
      <c r="A528" s="24"/>
      <c r="B528" s="24"/>
      <c r="C528" s="24"/>
      <c r="D528" s="81"/>
      <c r="E528" s="81"/>
      <c r="F528" s="81"/>
      <c r="G528" s="81"/>
      <c r="H528" s="81"/>
      <c r="I528" s="2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</row>
    <row r="529" ht="17.25" customHeight="1">
      <c r="A529" s="24"/>
      <c r="B529" s="24"/>
      <c r="C529" s="24"/>
      <c r="D529" s="81"/>
      <c r="E529" s="81"/>
      <c r="F529" s="81"/>
      <c r="G529" s="81"/>
      <c r="H529" s="81"/>
      <c r="I529" s="2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</row>
    <row r="530" ht="17.25" customHeight="1">
      <c r="A530" s="24"/>
      <c r="B530" s="24"/>
      <c r="C530" s="24"/>
      <c r="D530" s="81"/>
      <c r="E530" s="81"/>
      <c r="F530" s="81"/>
      <c r="G530" s="81"/>
      <c r="H530" s="81"/>
      <c r="I530" s="2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</row>
    <row r="531" ht="17.25" customHeight="1">
      <c r="A531" s="24"/>
      <c r="B531" s="24"/>
      <c r="C531" s="24"/>
      <c r="D531" s="81"/>
      <c r="E531" s="81"/>
      <c r="F531" s="81"/>
      <c r="G531" s="81"/>
      <c r="H531" s="81"/>
      <c r="I531" s="2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</row>
    <row r="532" ht="17.25" customHeight="1">
      <c r="A532" s="24"/>
      <c r="B532" s="24"/>
      <c r="C532" s="24"/>
      <c r="D532" s="81"/>
      <c r="E532" s="81"/>
      <c r="F532" s="81"/>
      <c r="G532" s="81"/>
      <c r="H532" s="81"/>
      <c r="I532" s="2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</row>
    <row r="533" ht="17.25" customHeight="1">
      <c r="A533" s="24"/>
      <c r="B533" s="24"/>
      <c r="C533" s="24"/>
      <c r="D533" s="81"/>
      <c r="E533" s="81"/>
      <c r="F533" s="81"/>
      <c r="G533" s="81"/>
      <c r="H533" s="81"/>
      <c r="I533" s="2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</row>
    <row r="534" ht="17.25" customHeight="1">
      <c r="A534" s="24"/>
      <c r="B534" s="24"/>
      <c r="C534" s="24"/>
      <c r="D534" s="81"/>
      <c r="E534" s="81"/>
      <c r="F534" s="81"/>
      <c r="G534" s="81"/>
      <c r="H534" s="81"/>
      <c r="I534" s="2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</row>
    <row r="535" ht="17.25" customHeight="1">
      <c r="A535" s="24"/>
      <c r="B535" s="24"/>
      <c r="C535" s="24"/>
      <c r="D535" s="81"/>
      <c r="E535" s="81"/>
      <c r="F535" s="81"/>
      <c r="G535" s="81"/>
      <c r="H535" s="81"/>
      <c r="I535" s="2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</row>
    <row r="536" ht="17.25" customHeight="1">
      <c r="A536" s="24"/>
      <c r="B536" s="24"/>
      <c r="C536" s="24"/>
      <c r="D536" s="81"/>
      <c r="E536" s="81"/>
      <c r="F536" s="81"/>
      <c r="G536" s="81"/>
      <c r="H536" s="81"/>
      <c r="I536" s="2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</row>
    <row r="537" ht="17.25" customHeight="1">
      <c r="A537" s="24"/>
      <c r="B537" s="24"/>
      <c r="C537" s="24"/>
      <c r="D537" s="81"/>
      <c r="E537" s="81"/>
      <c r="F537" s="81"/>
      <c r="G537" s="81"/>
      <c r="H537" s="81"/>
      <c r="I537" s="2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</row>
    <row r="538" ht="17.25" customHeight="1">
      <c r="A538" s="24"/>
      <c r="B538" s="24"/>
      <c r="C538" s="24"/>
      <c r="D538" s="81"/>
      <c r="E538" s="81"/>
      <c r="F538" s="81"/>
      <c r="G538" s="81"/>
      <c r="H538" s="81"/>
      <c r="I538" s="2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</row>
    <row r="539" ht="17.25" customHeight="1">
      <c r="A539" s="24"/>
      <c r="B539" s="24"/>
      <c r="C539" s="24"/>
      <c r="D539" s="81"/>
      <c r="E539" s="81"/>
      <c r="F539" s="81"/>
      <c r="G539" s="81"/>
      <c r="H539" s="81"/>
      <c r="I539" s="2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</row>
    <row r="540" ht="17.25" customHeight="1">
      <c r="A540" s="24"/>
      <c r="B540" s="24"/>
      <c r="C540" s="24"/>
      <c r="D540" s="81"/>
      <c r="E540" s="81"/>
      <c r="F540" s="81"/>
      <c r="G540" s="81"/>
      <c r="H540" s="81"/>
      <c r="I540" s="2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</row>
    <row r="541" ht="17.25" customHeight="1">
      <c r="A541" s="24"/>
      <c r="B541" s="24"/>
      <c r="C541" s="24"/>
      <c r="D541" s="81"/>
      <c r="E541" s="81"/>
      <c r="F541" s="81"/>
      <c r="G541" s="81"/>
      <c r="H541" s="81"/>
      <c r="I541" s="2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</row>
    <row r="542" ht="17.25" customHeight="1">
      <c r="A542" s="24"/>
      <c r="B542" s="24"/>
      <c r="C542" s="24"/>
      <c r="D542" s="81"/>
      <c r="E542" s="81"/>
      <c r="F542" s="81"/>
      <c r="G542" s="81"/>
      <c r="H542" s="81"/>
      <c r="I542" s="2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</row>
    <row r="543" ht="17.25" customHeight="1">
      <c r="A543" s="24"/>
      <c r="B543" s="24"/>
      <c r="C543" s="24"/>
      <c r="D543" s="81"/>
      <c r="E543" s="81"/>
      <c r="F543" s="81"/>
      <c r="G543" s="81"/>
      <c r="H543" s="81"/>
      <c r="I543" s="2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</row>
    <row r="544" ht="17.25" customHeight="1">
      <c r="A544" s="24"/>
      <c r="B544" s="24"/>
      <c r="C544" s="24"/>
      <c r="D544" s="81"/>
      <c r="E544" s="81"/>
      <c r="F544" s="81"/>
      <c r="G544" s="81"/>
      <c r="H544" s="81"/>
      <c r="I544" s="2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</row>
    <row r="545" ht="17.25" customHeight="1">
      <c r="A545" s="24"/>
      <c r="B545" s="24"/>
      <c r="C545" s="24"/>
      <c r="D545" s="81"/>
      <c r="E545" s="81"/>
      <c r="F545" s="81"/>
      <c r="G545" s="81"/>
      <c r="H545" s="81"/>
      <c r="I545" s="2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</row>
    <row r="546" ht="17.25" customHeight="1">
      <c r="A546" s="24"/>
      <c r="B546" s="24"/>
      <c r="C546" s="24"/>
      <c r="D546" s="81"/>
      <c r="E546" s="81"/>
      <c r="F546" s="81"/>
      <c r="G546" s="81"/>
      <c r="H546" s="81"/>
      <c r="I546" s="2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</row>
    <row r="547" ht="17.25" customHeight="1">
      <c r="A547" s="24"/>
      <c r="B547" s="24"/>
      <c r="C547" s="24"/>
      <c r="D547" s="81"/>
      <c r="E547" s="81"/>
      <c r="F547" s="81"/>
      <c r="G547" s="81"/>
      <c r="H547" s="81"/>
      <c r="I547" s="2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</row>
    <row r="548" ht="17.25" customHeight="1">
      <c r="A548" s="24"/>
      <c r="B548" s="24"/>
      <c r="C548" s="24"/>
      <c r="D548" s="81"/>
      <c r="E548" s="81"/>
      <c r="F548" s="81"/>
      <c r="G548" s="81"/>
      <c r="H548" s="81"/>
      <c r="I548" s="2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</row>
    <row r="549" ht="17.25" customHeight="1">
      <c r="A549" s="24"/>
      <c r="B549" s="24"/>
      <c r="C549" s="24"/>
      <c r="D549" s="81"/>
      <c r="E549" s="81"/>
      <c r="F549" s="81"/>
      <c r="G549" s="81"/>
      <c r="H549" s="81"/>
      <c r="I549" s="2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</row>
    <row r="550" ht="17.25" customHeight="1">
      <c r="A550" s="24"/>
      <c r="B550" s="24"/>
      <c r="C550" s="24"/>
      <c r="D550" s="81"/>
      <c r="E550" s="81"/>
      <c r="F550" s="81"/>
      <c r="G550" s="81"/>
      <c r="H550" s="81"/>
      <c r="I550" s="2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</row>
    <row r="551" ht="17.25" customHeight="1">
      <c r="A551" s="24"/>
      <c r="B551" s="24"/>
      <c r="C551" s="24"/>
      <c r="D551" s="81"/>
      <c r="E551" s="81"/>
      <c r="F551" s="81"/>
      <c r="G551" s="81"/>
      <c r="H551" s="81"/>
      <c r="I551" s="2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</row>
    <row r="552" ht="17.25" customHeight="1">
      <c r="A552" s="24"/>
      <c r="B552" s="24"/>
      <c r="C552" s="24"/>
      <c r="D552" s="81"/>
      <c r="E552" s="81"/>
      <c r="F552" s="81"/>
      <c r="G552" s="81"/>
      <c r="H552" s="81"/>
      <c r="I552" s="2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</row>
    <row r="553" ht="17.25" customHeight="1">
      <c r="A553" s="24"/>
      <c r="B553" s="24"/>
      <c r="C553" s="24"/>
      <c r="D553" s="81"/>
      <c r="E553" s="81"/>
      <c r="F553" s="81"/>
      <c r="G553" s="81"/>
      <c r="H553" s="81"/>
      <c r="I553" s="2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</row>
    <row r="554" ht="17.25" customHeight="1">
      <c r="A554" s="24"/>
      <c r="B554" s="24"/>
      <c r="C554" s="24"/>
      <c r="D554" s="81"/>
      <c r="E554" s="81"/>
      <c r="F554" s="81"/>
      <c r="G554" s="81"/>
      <c r="H554" s="81"/>
      <c r="I554" s="2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</row>
    <row r="555" ht="17.25" customHeight="1">
      <c r="A555" s="24"/>
      <c r="B555" s="24"/>
      <c r="C555" s="24"/>
      <c r="D555" s="81"/>
      <c r="E555" s="81"/>
      <c r="F555" s="81"/>
      <c r="G555" s="81"/>
      <c r="H555" s="81"/>
      <c r="I555" s="2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</row>
    <row r="556" ht="17.25" customHeight="1">
      <c r="A556" s="24"/>
      <c r="B556" s="24"/>
      <c r="C556" s="24"/>
      <c r="D556" s="81"/>
      <c r="E556" s="81"/>
      <c r="F556" s="81"/>
      <c r="G556" s="81"/>
      <c r="H556" s="81"/>
      <c r="I556" s="2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</row>
    <row r="557" ht="17.25" customHeight="1">
      <c r="A557" s="24"/>
      <c r="B557" s="24"/>
      <c r="C557" s="24"/>
      <c r="D557" s="81"/>
      <c r="E557" s="81"/>
      <c r="F557" s="81"/>
      <c r="G557" s="81"/>
      <c r="H557" s="81"/>
      <c r="I557" s="2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</row>
    <row r="558" ht="17.25" customHeight="1">
      <c r="A558" s="24"/>
      <c r="B558" s="24"/>
      <c r="C558" s="24"/>
      <c r="D558" s="81"/>
      <c r="E558" s="81"/>
      <c r="F558" s="81"/>
      <c r="G558" s="81"/>
      <c r="H558" s="81"/>
      <c r="I558" s="2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</row>
    <row r="559" ht="17.25" customHeight="1">
      <c r="A559" s="24"/>
      <c r="B559" s="24"/>
      <c r="C559" s="24"/>
      <c r="D559" s="81"/>
      <c r="E559" s="81"/>
      <c r="F559" s="81"/>
      <c r="G559" s="81"/>
      <c r="H559" s="81"/>
      <c r="I559" s="2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</row>
    <row r="560" ht="17.25" customHeight="1">
      <c r="A560" s="24"/>
      <c r="B560" s="24"/>
      <c r="C560" s="24"/>
      <c r="D560" s="81"/>
      <c r="E560" s="81"/>
      <c r="F560" s="81"/>
      <c r="G560" s="81"/>
      <c r="H560" s="81"/>
      <c r="I560" s="2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</row>
    <row r="561" ht="17.25" customHeight="1">
      <c r="A561" s="24"/>
      <c r="B561" s="24"/>
      <c r="C561" s="24"/>
      <c r="D561" s="81"/>
      <c r="E561" s="81"/>
      <c r="F561" s="81"/>
      <c r="G561" s="81"/>
      <c r="H561" s="81"/>
      <c r="I561" s="2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</row>
    <row r="562" ht="17.25" customHeight="1">
      <c r="A562" s="24"/>
      <c r="B562" s="24"/>
      <c r="C562" s="24"/>
      <c r="D562" s="81"/>
      <c r="E562" s="81"/>
      <c r="F562" s="81"/>
      <c r="G562" s="81"/>
      <c r="H562" s="81"/>
      <c r="I562" s="2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</row>
    <row r="563" ht="17.25" customHeight="1">
      <c r="A563" s="24"/>
      <c r="B563" s="24"/>
      <c r="C563" s="24"/>
      <c r="D563" s="81"/>
      <c r="E563" s="81"/>
      <c r="F563" s="81"/>
      <c r="G563" s="81"/>
      <c r="H563" s="81"/>
      <c r="I563" s="2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</row>
    <row r="564" ht="17.25" customHeight="1">
      <c r="A564" s="24"/>
      <c r="B564" s="24"/>
      <c r="C564" s="24"/>
      <c r="D564" s="81"/>
      <c r="E564" s="81"/>
      <c r="F564" s="81"/>
      <c r="G564" s="81"/>
      <c r="H564" s="81"/>
      <c r="I564" s="2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</row>
    <row r="565" ht="17.25" customHeight="1">
      <c r="A565" s="24"/>
      <c r="B565" s="24"/>
      <c r="C565" s="24"/>
      <c r="D565" s="81"/>
      <c r="E565" s="81"/>
      <c r="F565" s="81"/>
      <c r="G565" s="81"/>
      <c r="H565" s="81"/>
      <c r="I565" s="2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</row>
    <row r="566" ht="17.25" customHeight="1">
      <c r="A566" s="24"/>
      <c r="B566" s="24"/>
      <c r="C566" s="24"/>
      <c r="D566" s="81"/>
      <c r="E566" s="81"/>
      <c r="F566" s="81"/>
      <c r="G566" s="81"/>
      <c r="H566" s="81"/>
      <c r="I566" s="2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</row>
    <row r="567" ht="17.25" customHeight="1">
      <c r="A567" s="24"/>
      <c r="B567" s="24"/>
      <c r="C567" s="24"/>
      <c r="D567" s="81"/>
      <c r="E567" s="81"/>
      <c r="F567" s="81"/>
      <c r="G567" s="81"/>
      <c r="H567" s="81"/>
      <c r="I567" s="2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</row>
    <row r="568" ht="17.25" customHeight="1">
      <c r="A568" s="24"/>
      <c r="B568" s="24"/>
      <c r="C568" s="24"/>
      <c r="D568" s="81"/>
      <c r="E568" s="81"/>
      <c r="F568" s="81"/>
      <c r="G568" s="81"/>
      <c r="H568" s="81"/>
      <c r="I568" s="2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</row>
    <row r="569" ht="17.25" customHeight="1">
      <c r="A569" s="24"/>
      <c r="B569" s="24"/>
      <c r="C569" s="24"/>
      <c r="D569" s="81"/>
      <c r="E569" s="81"/>
      <c r="F569" s="81"/>
      <c r="G569" s="81"/>
      <c r="H569" s="81"/>
      <c r="I569" s="2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</row>
    <row r="570" ht="17.25" customHeight="1">
      <c r="A570" s="24"/>
      <c r="B570" s="24"/>
      <c r="C570" s="24"/>
      <c r="D570" s="81"/>
      <c r="E570" s="81"/>
      <c r="F570" s="81"/>
      <c r="G570" s="81"/>
      <c r="H570" s="81"/>
      <c r="I570" s="2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</row>
    <row r="571" ht="17.25" customHeight="1">
      <c r="A571" s="24"/>
      <c r="B571" s="24"/>
      <c r="C571" s="24"/>
      <c r="D571" s="81"/>
      <c r="E571" s="81"/>
      <c r="F571" s="81"/>
      <c r="G571" s="81"/>
      <c r="H571" s="81"/>
      <c r="I571" s="2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</row>
    <row r="572" ht="17.25" customHeight="1">
      <c r="A572" s="24"/>
      <c r="B572" s="24"/>
      <c r="C572" s="24"/>
      <c r="D572" s="81"/>
      <c r="E572" s="81"/>
      <c r="F572" s="81"/>
      <c r="G572" s="81"/>
      <c r="H572" s="81"/>
      <c r="I572" s="2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</row>
    <row r="573" ht="17.25" customHeight="1">
      <c r="A573" s="24"/>
      <c r="B573" s="24"/>
      <c r="C573" s="24"/>
      <c r="D573" s="81"/>
      <c r="E573" s="81"/>
      <c r="F573" s="81"/>
      <c r="G573" s="81"/>
      <c r="H573" s="81"/>
      <c r="I573" s="2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</row>
    <row r="574" ht="17.25" customHeight="1">
      <c r="A574" s="24"/>
      <c r="B574" s="24"/>
      <c r="C574" s="24"/>
      <c r="D574" s="81"/>
      <c r="E574" s="81"/>
      <c r="F574" s="81"/>
      <c r="G574" s="81"/>
      <c r="H574" s="81"/>
      <c r="I574" s="2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</row>
    <row r="575" ht="17.25" customHeight="1">
      <c r="A575" s="24"/>
      <c r="B575" s="24"/>
      <c r="C575" s="24"/>
      <c r="D575" s="81"/>
      <c r="E575" s="81"/>
      <c r="F575" s="81"/>
      <c r="G575" s="81"/>
      <c r="H575" s="81"/>
      <c r="I575" s="2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</row>
    <row r="576" ht="17.25" customHeight="1">
      <c r="A576" s="24"/>
      <c r="B576" s="24"/>
      <c r="C576" s="24"/>
      <c r="D576" s="81"/>
      <c r="E576" s="81"/>
      <c r="F576" s="81"/>
      <c r="G576" s="81"/>
      <c r="H576" s="81"/>
      <c r="I576" s="2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</row>
    <row r="577" ht="17.25" customHeight="1">
      <c r="A577" s="24"/>
      <c r="B577" s="24"/>
      <c r="C577" s="24"/>
      <c r="D577" s="81"/>
      <c r="E577" s="81"/>
      <c r="F577" s="81"/>
      <c r="G577" s="81"/>
      <c r="H577" s="81"/>
      <c r="I577" s="2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</row>
    <row r="578" ht="17.25" customHeight="1">
      <c r="A578" s="24"/>
      <c r="B578" s="24"/>
      <c r="C578" s="24"/>
      <c r="D578" s="81"/>
      <c r="E578" s="81"/>
      <c r="F578" s="81"/>
      <c r="G578" s="81"/>
      <c r="H578" s="81"/>
      <c r="I578" s="2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</row>
    <row r="579" ht="17.25" customHeight="1">
      <c r="A579" s="24"/>
      <c r="B579" s="24"/>
      <c r="C579" s="24"/>
      <c r="D579" s="81"/>
      <c r="E579" s="81"/>
      <c r="F579" s="81"/>
      <c r="G579" s="81"/>
      <c r="H579" s="81"/>
      <c r="I579" s="2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</row>
    <row r="580" ht="17.25" customHeight="1">
      <c r="A580" s="24"/>
      <c r="B580" s="24"/>
      <c r="C580" s="24"/>
      <c r="D580" s="81"/>
      <c r="E580" s="81"/>
      <c r="F580" s="81"/>
      <c r="G580" s="81"/>
      <c r="H580" s="81"/>
      <c r="I580" s="2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</row>
    <row r="581" ht="17.25" customHeight="1">
      <c r="A581" s="24"/>
      <c r="B581" s="24"/>
      <c r="C581" s="24"/>
      <c r="D581" s="81"/>
      <c r="E581" s="81"/>
      <c r="F581" s="81"/>
      <c r="G581" s="81"/>
      <c r="H581" s="81"/>
      <c r="I581" s="2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</row>
    <row r="582" ht="17.25" customHeight="1">
      <c r="A582" s="24"/>
      <c r="B582" s="24"/>
      <c r="C582" s="24"/>
      <c r="D582" s="81"/>
      <c r="E582" s="81"/>
      <c r="F582" s="81"/>
      <c r="G582" s="81"/>
      <c r="H582" s="81"/>
      <c r="I582" s="2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</row>
    <row r="583" ht="17.25" customHeight="1">
      <c r="A583" s="24"/>
      <c r="B583" s="24"/>
      <c r="C583" s="24"/>
      <c r="D583" s="81"/>
      <c r="E583" s="81"/>
      <c r="F583" s="81"/>
      <c r="G583" s="81"/>
      <c r="H583" s="81"/>
      <c r="I583" s="2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</row>
    <row r="584" ht="17.25" customHeight="1">
      <c r="A584" s="24"/>
      <c r="B584" s="24"/>
      <c r="C584" s="24"/>
      <c r="D584" s="81"/>
      <c r="E584" s="81"/>
      <c r="F584" s="81"/>
      <c r="G584" s="81"/>
      <c r="H584" s="81"/>
      <c r="I584" s="2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</row>
    <row r="585" ht="17.25" customHeight="1">
      <c r="A585" s="24"/>
      <c r="B585" s="24"/>
      <c r="C585" s="24"/>
      <c r="D585" s="81"/>
      <c r="E585" s="81"/>
      <c r="F585" s="81"/>
      <c r="G585" s="81"/>
      <c r="H585" s="81"/>
      <c r="I585" s="2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</row>
    <row r="586" ht="17.25" customHeight="1">
      <c r="A586" s="24"/>
      <c r="B586" s="24"/>
      <c r="C586" s="24"/>
      <c r="D586" s="81"/>
      <c r="E586" s="81"/>
      <c r="F586" s="81"/>
      <c r="G586" s="81"/>
      <c r="H586" s="81"/>
      <c r="I586" s="2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</row>
    <row r="587" ht="17.25" customHeight="1">
      <c r="A587" s="24"/>
      <c r="B587" s="24"/>
      <c r="C587" s="24"/>
      <c r="D587" s="81"/>
      <c r="E587" s="81"/>
      <c r="F587" s="81"/>
      <c r="G587" s="81"/>
      <c r="H587" s="81"/>
      <c r="I587" s="2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</row>
    <row r="588" ht="17.25" customHeight="1">
      <c r="A588" s="24"/>
      <c r="B588" s="24"/>
      <c r="C588" s="24"/>
      <c r="D588" s="81"/>
      <c r="E588" s="81"/>
      <c r="F588" s="81"/>
      <c r="G588" s="81"/>
      <c r="H588" s="81"/>
      <c r="I588" s="2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</row>
    <row r="589" ht="17.25" customHeight="1">
      <c r="A589" s="24"/>
      <c r="B589" s="24"/>
      <c r="C589" s="24"/>
      <c r="D589" s="81"/>
      <c r="E589" s="81"/>
      <c r="F589" s="81"/>
      <c r="G589" s="81"/>
      <c r="H589" s="81"/>
      <c r="I589" s="2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</row>
    <row r="590" ht="17.25" customHeight="1">
      <c r="A590" s="24"/>
      <c r="B590" s="24"/>
      <c r="C590" s="24"/>
      <c r="D590" s="81"/>
      <c r="E590" s="81"/>
      <c r="F590" s="81"/>
      <c r="G590" s="81"/>
      <c r="H590" s="81"/>
      <c r="I590" s="2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</row>
    <row r="591" ht="17.25" customHeight="1">
      <c r="A591" s="24"/>
      <c r="B591" s="24"/>
      <c r="C591" s="24"/>
      <c r="D591" s="81"/>
      <c r="E591" s="81"/>
      <c r="F591" s="81"/>
      <c r="G591" s="81"/>
      <c r="H591" s="81"/>
      <c r="I591" s="2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</row>
    <row r="592" ht="17.25" customHeight="1">
      <c r="A592" s="24"/>
      <c r="B592" s="24"/>
      <c r="C592" s="24"/>
      <c r="D592" s="81"/>
      <c r="E592" s="81"/>
      <c r="F592" s="81"/>
      <c r="G592" s="81"/>
      <c r="H592" s="81"/>
      <c r="I592" s="2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</row>
    <row r="593" ht="17.25" customHeight="1">
      <c r="A593" s="24"/>
      <c r="B593" s="24"/>
      <c r="C593" s="24"/>
      <c r="D593" s="81"/>
      <c r="E593" s="81"/>
      <c r="F593" s="81"/>
      <c r="G593" s="81"/>
      <c r="H593" s="81"/>
      <c r="I593" s="2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</row>
    <row r="594" ht="17.25" customHeight="1">
      <c r="A594" s="24"/>
      <c r="B594" s="24"/>
      <c r="C594" s="24"/>
      <c r="D594" s="81"/>
      <c r="E594" s="81"/>
      <c r="F594" s="81"/>
      <c r="G594" s="81"/>
      <c r="H594" s="81"/>
      <c r="I594" s="2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</row>
    <row r="595" ht="17.25" customHeight="1">
      <c r="A595" s="24"/>
      <c r="B595" s="24"/>
      <c r="C595" s="24"/>
      <c r="D595" s="81"/>
      <c r="E595" s="81"/>
      <c r="F595" s="81"/>
      <c r="G595" s="81"/>
      <c r="H595" s="81"/>
      <c r="I595" s="2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</row>
    <row r="596" ht="17.25" customHeight="1">
      <c r="A596" s="24"/>
      <c r="B596" s="24"/>
      <c r="C596" s="24"/>
      <c r="D596" s="81"/>
      <c r="E596" s="81"/>
      <c r="F596" s="81"/>
      <c r="G596" s="81"/>
      <c r="H596" s="81"/>
      <c r="I596" s="2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</row>
    <row r="597" ht="17.25" customHeight="1">
      <c r="A597" s="24"/>
      <c r="B597" s="24"/>
      <c r="C597" s="24"/>
      <c r="D597" s="81"/>
      <c r="E597" s="81"/>
      <c r="F597" s="81"/>
      <c r="G597" s="81"/>
      <c r="H597" s="81"/>
      <c r="I597" s="2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</row>
    <row r="598" ht="17.25" customHeight="1">
      <c r="A598" s="24"/>
      <c r="B598" s="24"/>
      <c r="C598" s="24"/>
      <c r="D598" s="81"/>
      <c r="E598" s="81"/>
      <c r="F598" s="81"/>
      <c r="G598" s="81"/>
      <c r="H598" s="81"/>
      <c r="I598" s="2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</row>
    <row r="599" ht="17.25" customHeight="1">
      <c r="A599" s="24"/>
      <c r="B599" s="24"/>
      <c r="C599" s="24"/>
      <c r="D599" s="81"/>
      <c r="E599" s="81"/>
      <c r="F599" s="81"/>
      <c r="G599" s="81"/>
      <c r="H599" s="81"/>
      <c r="I599" s="2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</row>
    <row r="600" ht="17.25" customHeight="1">
      <c r="A600" s="24"/>
      <c r="B600" s="24"/>
      <c r="C600" s="24"/>
      <c r="D600" s="81"/>
      <c r="E600" s="81"/>
      <c r="F600" s="81"/>
      <c r="G600" s="81"/>
      <c r="H600" s="81"/>
      <c r="I600" s="2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</row>
    <row r="601" ht="17.25" customHeight="1">
      <c r="A601" s="24"/>
      <c r="B601" s="24"/>
      <c r="C601" s="24"/>
      <c r="D601" s="81"/>
      <c r="E601" s="81"/>
      <c r="F601" s="81"/>
      <c r="G601" s="81"/>
      <c r="H601" s="81"/>
      <c r="I601" s="2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</row>
    <row r="602" ht="17.25" customHeight="1">
      <c r="A602" s="24"/>
      <c r="B602" s="24"/>
      <c r="C602" s="24"/>
      <c r="D602" s="81"/>
      <c r="E602" s="81"/>
      <c r="F602" s="81"/>
      <c r="G602" s="81"/>
      <c r="H602" s="81"/>
      <c r="I602" s="2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</row>
    <row r="603" ht="17.25" customHeight="1">
      <c r="A603" s="24"/>
      <c r="B603" s="24"/>
      <c r="C603" s="24"/>
      <c r="D603" s="81"/>
      <c r="E603" s="81"/>
      <c r="F603" s="81"/>
      <c r="G603" s="81"/>
      <c r="H603" s="81"/>
      <c r="I603" s="2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</row>
    <row r="604" ht="17.25" customHeight="1">
      <c r="A604" s="24"/>
      <c r="B604" s="24"/>
      <c r="C604" s="24"/>
      <c r="D604" s="81"/>
      <c r="E604" s="81"/>
      <c r="F604" s="81"/>
      <c r="G604" s="81"/>
      <c r="H604" s="81"/>
      <c r="I604" s="2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</row>
    <row r="605" ht="17.25" customHeight="1">
      <c r="A605" s="24"/>
      <c r="B605" s="24"/>
      <c r="C605" s="24"/>
      <c r="D605" s="81"/>
      <c r="E605" s="81"/>
      <c r="F605" s="81"/>
      <c r="G605" s="81"/>
      <c r="H605" s="81"/>
      <c r="I605" s="2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</row>
    <row r="606" ht="17.25" customHeight="1">
      <c r="A606" s="24"/>
      <c r="B606" s="24"/>
      <c r="C606" s="24"/>
      <c r="D606" s="81"/>
      <c r="E606" s="81"/>
      <c r="F606" s="81"/>
      <c r="G606" s="81"/>
      <c r="H606" s="81"/>
      <c r="I606" s="2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</row>
    <row r="607" ht="17.25" customHeight="1">
      <c r="A607" s="24"/>
      <c r="B607" s="24"/>
      <c r="C607" s="24"/>
      <c r="D607" s="81"/>
      <c r="E607" s="81"/>
      <c r="F607" s="81"/>
      <c r="G607" s="81"/>
      <c r="H607" s="81"/>
      <c r="I607" s="2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</row>
    <row r="608" ht="17.25" customHeight="1">
      <c r="A608" s="24"/>
      <c r="B608" s="24"/>
      <c r="C608" s="24"/>
      <c r="D608" s="81"/>
      <c r="E608" s="81"/>
      <c r="F608" s="81"/>
      <c r="G608" s="81"/>
      <c r="H608" s="81"/>
      <c r="I608" s="2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</row>
    <row r="609" ht="17.25" customHeight="1">
      <c r="A609" s="24"/>
      <c r="B609" s="24"/>
      <c r="C609" s="24"/>
      <c r="D609" s="81"/>
      <c r="E609" s="81"/>
      <c r="F609" s="81"/>
      <c r="G609" s="81"/>
      <c r="H609" s="81"/>
      <c r="I609" s="2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</row>
    <row r="610" ht="17.25" customHeight="1">
      <c r="A610" s="24"/>
      <c r="B610" s="24"/>
      <c r="C610" s="24"/>
      <c r="D610" s="81"/>
      <c r="E610" s="81"/>
      <c r="F610" s="81"/>
      <c r="G610" s="81"/>
      <c r="H610" s="81"/>
      <c r="I610" s="2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</row>
    <row r="611" ht="17.25" customHeight="1">
      <c r="A611" s="24"/>
      <c r="B611" s="24"/>
      <c r="C611" s="24"/>
      <c r="D611" s="81"/>
      <c r="E611" s="81"/>
      <c r="F611" s="81"/>
      <c r="G611" s="81"/>
      <c r="H611" s="81"/>
      <c r="I611" s="2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</row>
    <row r="612" ht="17.25" customHeight="1">
      <c r="A612" s="24"/>
      <c r="B612" s="24"/>
      <c r="C612" s="24"/>
      <c r="D612" s="81"/>
      <c r="E612" s="81"/>
      <c r="F612" s="81"/>
      <c r="G612" s="81"/>
      <c r="H612" s="81"/>
      <c r="I612" s="2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</row>
    <row r="613" ht="17.25" customHeight="1">
      <c r="A613" s="24"/>
      <c r="B613" s="24"/>
      <c r="C613" s="24"/>
      <c r="D613" s="81"/>
      <c r="E613" s="81"/>
      <c r="F613" s="81"/>
      <c r="G613" s="81"/>
      <c r="H613" s="81"/>
      <c r="I613" s="2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</row>
    <row r="614" ht="17.25" customHeight="1">
      <c r="A614" s="24"/>
      <c r="B614" s="24"/>
      <c r="C614" s="24"/>
      <c r="D614" s="81"/>
      <c r="E614" s="81"/>
      <c r="F614" s="81"/>
      <c r="G614" s="81"/>
      <c r="H614" s="81"/>
      <c r="I614" s="2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</row>
    <row r="615" ht="17.25" customHeight="1">
      <c r="A615" s="24"/>
      <c r="B615" s="24"/>
      <c r="C615" s="24"/>
      <c r="D615" s="81"/>
      <c r="E615" s="81"/>
      <c r="F615" s="81"/>
      <c r="G615" s="81"/>
      <c r="H615" s="81"/>
      <c r="I615" s="2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</row>
    <row r="616" ht="17.25" customHeight="1">
      <c r="A616" s="24"/>
      <c r="B616" s="24"/>
      <c r="C616" s="24"/>
      <c r="D616" s="81"/>
      <c r="E616" s="81"/>
      <c r="F616" s="81"/>
      <c r="G616" s="81"/>
      <c r="H616" s="81"/>
      <c r="I616" s="2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</row>
    <row r="617" ht="17.25" customHeight="1">
      <c r="A617" s="24"/>
      <c r="B617" s="24"/>
      <c r="C617" s="24"/>
      <c r="D617" s="81"/>
      <c r="E617" s="81"/>
      <c r="F617" s="81"/>
      <c r="G617" s="81"/>
      <c r="H617" s="81"/>
      <c r="I617" s="2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</row>
    <row r="618" ht="17.25" customHeight="1">
      <c r="A618" s="24"/>
      <c r="B618" s="24"/>
      <c r="C618" s="24"/>
      <c r="D618" s="81"/>
      <c r="E618" s="81"/>
      <c r="F618" s="81"/>
      <c r="G618" s="81"/>
      <c r="H618" s="81"/>
      <c r="I618" s="2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</row>
    <row r="619" ht="17.25" customHeight="1">
      <c r="A619" s="24"/>
      <c r="B619" s="24"/>
      <c r="C619" s="24"/>
      <c r="D619" s="81"/>
      <c r="E619" s="81"/>
      <c r="F619" s="81"/>
      <c r="G619" s="81"/>
      <c r="H619" s="81"/>
      <c r="I619" s="2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</row>
    <row r="620" ht="17.25" customHeight="1">
      <c r="A620" s="24"/>
      <c r="B620" s="24"/>
      <c r="C620" s="24"/>
      <c r="D620" s="81"/>
      <c r="E620" s="81"/>
      <c r="F620" s="81"/>
      <c r="G620" s="81"/>
      <c r="H620" s="81"/>
      <c r="I620" s="2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</row>
    <row r="621" ht="17.25" customHeight="1">
      <c r="A621" s="24"/>
      <c r="B621" s="24"/>
      <c r="C621" s="24"/>
      <c r="D621" s="81"/>
      <c r="E621" s="81"/>
      <c r="F621" s="81"/>
      <c r="G621" s="81"/>
      <c r="H621" s="81"/>
      <c r="I621" s="2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</row>
    <row r="622" ht="17.25" customHeight="1">
      <c r="A622" s="24"/>
      <c r="B622" s="24"/>
      <c r="C622" s="24"/>
      <c r="D622" s="81"/>
      <c r="E622" s="81"/>
      <c r="F622" s="81"/>
      <c r="G622" s="81"/>
      <c r="H622" s="81"/>
      <c r="I622" s="2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</row>
    <row r="623" ht="17.25" customHeight="1">
      <c r="A623" s="24"/>
      <c r="B623" s="24"/>
      <c r="C623" s="24"/>
      <c r="D623" s="81"/>
      <c r="E623" s="81"/>
      <c r="F623" s="81"/>
      <c r="G623" s="81"/>
      <c r="H623" s="81"/>
      <c r="I623" s="2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</row>
    <row r="624" ht="17.25" customHeight="1">
      <c r="A624" s="24"/>
      <c r="B624" s="24"/>
      <c r="C624" s="24"/>
      <c r="D624" s="81"/>
      <c r="E624" s="81"/>
      <c r="F624" s="81"/>
      <c r="G624" s="81"/>
      <c r="H624" s="81"/>
      <c r="I624" s="2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</row>
    <row r="625" ht="17.25" customHeight="1">
      <c r="A625" s="24"/>
      <c r="B625" s="24"/>
      <c r="C625" s="24"/>
      <c r="D625" s="81"/>
      <c r="E625" s="81"/>
      <c r="F625" s="81"/>
      <c r="G625" s="81"/>
      <c r="H625" s="81"/>
      <c r="I625" s="2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</row>
    <row r="626" ht="17.25" customHeight="1">
      <c r="A626" s="24"/>
      <c r="B626" s="24"/>
      <c r="C626" s="24"/>
      <c r="D626" s="81"/>
      <c r="E626" s="81"/>
      <c r="F626" s="81"/>
      <c r="G626" s="81"/>
      <c r="H626" s="81"/>
      <c r="I626" s="2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</row>
    <row r="627" ht="17.25" customHeight="1">
      <c r="A627" s="24"/>
      <c r="B627" s="24"/>
      <c r="C627" s="24"/>
      <c r="D627" s="81"/>
      <c r="E627" s="81"/>
      <c r="F627" s="81"/>
      <c r="G627" s="81"/>
      <c r="H627" s="81"/>
      <c r="I627" s="2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</row>
    <row r="628" ht="17.25" customHeight="1">
      <c r="A628" s="24"/>
      <c r="B628" s="24"/>
      <c r="C628" s="24"/>
      <c r="D628" s="81"/>
      <c r="E628" s="81"/>
      <c r="F628" s="81"/>
      <c r="G628" s="81"/>
      <c r="H628" s="81"/>
      <c r="I628" s="2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</row>
    <row r="629" ht="17.25" customHeight="1">
      <c r="A629" s="24"/>
      <c r="B629" s="24"/>
      <c r="C629" s="24"/>
      <c r="D629" s="81"/>
      <c r="E629" s="81"/>
      <c r="F629" s="81"/>
      <c r="G629" s="81"/>
      <c r="H629" s="81"/>
      <c r="I629" s="2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</row>
    <row r="630" ht="17.25" customHeight="1">
      <c r="A630" s="24"/>
      <c r="B630" s="24"/>
      <c r="C630" s="24"/>
      <c r="D630" s="81"/>
      <c r="E630" s="81"/>
      <c r="F630" s="81"/>
      <c r="G630" s="81"/>
      <c r="H630" s="81"/>
      <c r="I630" s="2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</row>
    <row r="631" ht="17.25" customHeight="1">
      <c r="A631" s="24"/>
      <c r="B631" s="24"/>
      <c r="C631" s="24"/>
      <c r="D631" s="81"/>
      <c r="E631" s="81"/>
      <c r="F631" s="81"/>
      <c r="G631" s="81"/>
      <c r="H631" s="81"/>
      <c r="I631" s="2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</row>
    <row r="632" ht="17.25" customHeight="1">
      <c r="A632" s="24"/>
      <c r="B632" s="24"/>
      <c r="C632" s="24"/>
      <c r="D632" s="81"/>
      <c r="E632" s="81"/>
      <c r="F632" s="81"/>
      <c r="G632" s="81"/>
      <c r="H632" s="81"/>
      <c r="I632" s="2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</row>
    <row r="633" ht="17.25" customHeight="1">
      <c r="A633" s="24"/>
      <c r="B633" s="24"/>
      <c r="C633" s="24"/>
      <c r="D633" s="81"/>
      <c r="E633" s="81"/>
      <c r="F633" s="81"/>
      <c r="G633" s="81"/>
      <c r="H633" s="81"/>
      <c r="I633" s="2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</row>
    <row r="634" ht="17.25" customHeight="1">
      <c r="A634" s="24"/>
      <c r="B634" s="24"/>
      <c r="C634" s="24"/>
      <c r="D634" s="81"/>
      <c r="E634" s="81"/>
      <c r="F634" s="81"/>
      <c r="G634" s="81"/>
      <c r="H634" s="81"/>
      <c r="I634" s="2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</row>
    <row r="635" ht="17.25" customHeight="1">
      <c r="A635" s="24"/>
      <c r="B635" s="24"/>
      <c r="C635" s="24"/>
      <c r="D635" s="81"/>
      <c r="E635" s="81"/>
      <c r="F635" s="81"/>
      <c r="G635" s="81"/>
      <c r="H635" s="81"/>
      <c r="I635" s="2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</row>
    <row r="636" ht="17.25" customHeight="1">
      <c r="A636" s="24"/>
      <c r="B636" s="24"/>
      <c r="C636" s="24"/>
      <c r="D636" s="81"/>
      <c r="E636" s="81"/>
      <c r="F636" s="81"/>
      <c r="G636" s="81"/>
      <c r="H636" s="81"/>
      <c r="I636" s="2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</row>
    <row r="637" ht="17.25" customHeight="1">
      <c r="A637" s="24"/>
      <c r="B637" s="24"/>
      <c r="C637" s="24"/>
      <c r="D637" s="81"/>
      <c r="E637" s="81"/>
      <c r="F637" s="81"/>
      <c r="G637" s="81"/>
      <c r="H637" s="81"/>
      <c r="I637" s="2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</row>
    <row r="638" ht="17.25" customHeight="1">
      <c r="A638" s="24"/>
      <c r="B638" s="24"/>
      <c r="C638" s="24"/>
      <c r="D638" s="81"/>
      <c r="E638" s="81"/>
      <c r="F638" s="81"/>
      <c r="G638" s="81"/>
      <c r="H638" s="81"/>
      <c r="I638" s="2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</row>
    <row r="639" ht="17.25" customHeight="1">
      <c r="A639" s="24"/>
      <c r="B639" s="24"/>
      <c r="C639" s="24"/>
      <c r="D639" s="81"/>
      <c r="E639" s="81"/>
      <c r="F639" s="81"/>
      <c r="G639" s="81"/>
      <c r="H639" s="81"/>
      <c r="I639" s="2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</row>
    <row r="640" ht="17.25" customHeight="1">
      <c r="A640" s="24"/>
      <c r="B640" s="24"/>
      <c r="C640" s="24"/>
      <c r="D640" s="81"/>
      <c r="E640" s="81"/>
      <c r="F640" s="81"/>
      <c r="G640" s="81"/>
      <c r="H640" s="81"/>
      <c r="I640" s="2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</row>
    <row r="641" ht="17.25" customHeight="1">
      <c r="A641" s="24"/>
      <c r="B641" s="24"/>
      <c r="C641" s="24"/>
      <c r="D641" s="81"/>
      <c r="E641" s="81"/>
      <c r="F641" s="81"/>
      <c r="G641" s="81"/>
      <c r="H641" s="81"/>
      <c r="I641" s="2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</row>
    <row r="642" ht="17.25" customHeight="1">
      <c r="A642" s="24"/>
      <c r="B642" s="24"/>
      <c r="C642" s="24"/>
      <c r="D642" s="81"/>
      <c r="E642" s="81"/>
      <c r="F642" s="81"/>
      <c r="G642" s="81"/>
      <c r="H642" s="81"/>
      <c r="I642" s="2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</row>
    <row r="643" ht="17.25" customHeight="1">
      <c r="A643" s="24"/>
      <c r="B643" s="24"/>
      <c r="C643" s="24"/>
      <c r="D643" s="81"/>
      <c r="E643" s="81"/>
      <c r="F643" s="81"/>
      <c r="G643" s="81"/>
      <c r="H643" s="81"/>
      <c r="I643" s="2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</row>
    <row r="644" ht="17.25" customHeight="1">
      <c r="A644" s="24"/>
      <c r="B644" s="24"/>
      <c r="C644" s="24"/>
      <c r="D644" s="81"/>
      <c r="E644" s="81"/>
      <c r="F644" s="81"/>
      <c r="G644" s="81"/>
      <c r="H644" s="81"/>
      <c r="I644" s="2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</row>
    <row r="645" ht="17.25" customHeight="1">
      <c r="A645" s="24"/>
      <c r="B645" s="24"/>
      <c r="C645" s="24"/>
      <c r="D645" s="81"/>
      <c r="E645" s="81"/>
      <c r="F645" s="81"/>
      <c r="G645" s="81"/>
      <c r="H645" s="81"/>
      <c r="I645" s="2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</row>
    <row r="646" ht="17.25" customHeight="1">
      <c r="A646" s="24"/>
      <c r="B646" s="24"/>
      <c r="C646" s="24"/>
      <c r="D646" s="81"/>
      <c r="E646" s="81"/>
      <c r="F646" s="81"/>
      <c r="G646" s="81"/>
      <c r="H646" s="81"/>
      <c r="I646" s="2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</row>
    <row r="647" ht="17.25" customHeight="1">
      <c r="A647" s="24"/>
      <c r="B647" s="24"/>
      <c r="C647" s="24"/>
      <c r="D647" s="81"/>
      <c r="E647" s="81"/>
      <c r="F647" s="81"/>
      <c r="G647" s="81"/>
      <c r="H647" s="81"/>
      <c r="I647" s="2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</row>
    <row r="648" ht="17.25" customHeight="1">
      <c r="A648" s="24"/>
      <c r="B648" s="24"/>
      <c r="C648" s="24"/>
      <c r="D648" s="81"/>
      <c r="E648" s="81"/>
      <c r="F648" s="81"/>
      <c r="G648" s="81"/>
      <c r="H648" s="81"/>
      <c r="I648" s="2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</row>
    <row r="649" ht="17.25" customHeight="1">
      <c r="A649" s="24"/>
      <c r="B649" s="24"/>
      <c r="C649" s="24"/>
      <c r="D649" s="81"/>
      <c r="E649" s="81"/>
      <c r="F649" s="81"/>
      <c r="G649" s="81"/>
      <c r="H649" s="81"/>
      <c r="I649" s="2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</row>
    <row r="650" ht="17.25" customHeight="1">
      <c r="A650" s="24"/>
      <c r="B650" s="24"/>
      <c r="C650" s="24"/>
      <c r="D650" s="81"/>
      <c r="E650" s="81"/>
      <c r="F650" s="81"/>
      <c r="G650" s="81"/>
      <c r="H650" s="81"/>
      <c r="I650" s="2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</row>
    <row r="651" ht="17.25" customHeight="1">
      <c r="A651" s="24"/>
      <c r="B651" s="24"/>
      <c r="C651" s="24"/>
      <c r="D651" s="81"/>
      <c r="E651" s="81"/>
      <c r="F651" s="81"/>
      <c r="G651" s="81"/>
      <c r="H651" s="81"/>
      <c r="I651" s="2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</row>
    <row r="652" ht="17.25" customHeight="1">
      <c r="A652" s="24"/>
      <c r="B652" s="24"/>
      <c r="C652" s="24"/>
      <c r="D652" s="81"/>
      <c r="E652" s="81"/>
      <c r="F652" s="81"/>
      <c r="G652" s="81"/>
      <c r="H652" s="81"/>
      <c r="I652" s="2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</row>
    <row r="653" ht="17.25" customHeight="1">
      <c r="A653" s="24"/>
      <c r="B653" s="24"/>
      <c r="C653" s="24"/>
      <c r="D653" s="81"/>
      <c r="E653" s="81"/>
      <c r="F653" s="81"/>
      <c r="G653" s="81"/>
      <c r="H653" s="81"/>
      <c r="I653" s="2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</row>
    <row r="654" ht="17.25" customHeight="1">
      <c r="A654" s="24"/>
      <c r="B654" s="24"/>
      <c r="C654" s="24"/>
      <c r="D654" s="81"/>
      <c r="E654" s="81"/>
      <c r="F654" s="81"/>
      <c r="G654" s="81"/>
      <c r="H654" s="81"/>
      <c r="I654" s="2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</row>
    <row r="655" ht="17.25" customHeight="1">
      <c r="A655" s="24"/>
      <c r="B655" s="24"/>
      <c r="C655" s="24"/>
      <c r="D655" s="81"/>
      <c r="E655" s="81"/>
      <c r="F655" s="81"/>
      <c r="G655" s="81"/>
      <c r="H655" s="81"/>
      <c r="I655" s="2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</row>
    <row r="656" ht="17.25" customHeight="1">
      <c r="A656" s="24"/>
      <c r="B656" s="24"/>
      <c r="C656" s="24"/>
      <c r="D656" s="81"/>
      <c r="E656" s="81"/>
      <c r="F656" s="81"/>
      <c r="G656" s="81"/>
      <c r="H656" s="81"/>
      <c r="I656" s="2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</row>
    <row r="657" ht="17.25" customHeight="1">
      <c r="A657" s="24"/>
      <c r="B657" s="24"/>
      <c r="C657" s="24"/>
      <c r="D657" s="81"/>
      <c r="E657" s="81"/>
      <c r="F657" s="81"/>
      <c r="G657" s="81"/>
      <c r="H657" s="81"/>
      <c r="I657" s="2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</row>
    <row r="658" ht="17.25" customHeight="1">
      <c r="A658" s="24"/>
      <c r="B658" s="24"/>
      <c r="C658" s="24"/>
      <c r="D658" s="81"/>
      <c r="E658" s="81"/>
      <c r="F658" s="81"/>
      <c r="G658" s="81"/>
      <c r="H658" s="81"/>
      <c r="I658" s="2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</row>
    <row r="659" ht="17.25" customHeight="1">
      <c r="A659" s="24"/>
      <c r="B659" s="24"/>
      <c r="C659" s="24"/>
      <c r="D659" s="81"/>
      <c r="E659" s="81"/>
      <c r="F659" s="81"/>
      <c r="G659" s="81"/>
      <c r="H659" s="81"/>
      <c r="I659" s="2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</row>
    <row r="660" ht="17.25" customHeight="1">
      <c r="A660" s="24"/>
      <c r="B660" s="24"/>
      <c r="C660" s="24"/>
      <c r="D660" s="81"/>
      <c r="E660" s="81"/>
      <c r="F660" s="81"/>
      <c r="G660" s="81"/>
      <c r="H660" s="81"/>
      <c r="I660" s="2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</row>
    <row r="661" ht="17.25" customHeight="1">
      <c r="A661" s="24"/>
      <c r="B661" s="24"/>
      <c r="C661" s="24"/>
      <c r="D661" s="81"/>
      <c r="E661" s="81"/>
      <c r="F661" s="81"/>
      <c r="G661" s="81"/>
      <c r="H661" s="81"/>
      <c r="I661" s="2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</row>
    <row r="662" ht="17.25" customHeight="1">
      <c r="A662" s="24"/>
      <c r="B662" s="24"/>
      <c r="C662" s="24"/>
      <c r="D662" s="81"/>
      <c r="E662" s="81"/>
      <c r="F662" s="81"/>
      <c r="G662" s="81"/>
      <c r="H662" s="81"/>
      <c r="I662" s="2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</row>
    <row r="663" ht="17.25" customHeight="1">
      <c r="A663" s="24"/>
      <c r="B663" s="24"/>
      <c r="C663" s="24"/>
      <c r="D663" s="81"/>
      <c r="E663" s="81"/>
      <c r="F663" s="81"/>
      <c r="G663" s="81"/>
      <c r="H663" s="81"/>
      <c r="I663" s="2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</row>
    <row r="664" ht="17.25" customHeight="1">
      <c r="A664" s="24"/>
      <c r="B664" s="24"/>
      <c r="C664" s="24"/>
      <c r="D664" s="81"/>
      <c r="E664" s="81"/>
      <c r="F664" s="81"/>
      <c r="G664" s="81"/>
      <c r="H664" s="81"/>
      <c r="I664" s="2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</row>
    <row r="665" ht="17.25" customHeight="1">
      <c r="A665" s="24"/>
      <c r="B665" s="24"/>
      <c r="C665" s="24"/>
      <c r="D665" s="81"/>
      <c r="E665" s="81"/>
      <c r="F665" s="81"/>
      <c r="G665" s="81"/>
      <c r="H665" s="81"/>
      <c r="I665" s="2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</row>
    <row r="666" ht="17.25" customHeight="1">
      <c r="A666" s="24"/>
      <c r="B666" s="24"/>
      <c r="C666" s="24"/>
      <c r="D666" s="81"/>
      <c r="E666" s="81"/>
      <c r="F666" s="81"/>
      <c r="G666" s="81"/>
      <c r="H666" s="81"/>
      <c r="I666" s="2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</row>
    <row r="667" ht="17.25" customHeight="1">
      <c r="A667" s="24"/>
      <c r="B667" s="24"/>
      <c r="C667" s="24"/>
      <c r="D667" s="81"/>
      <c r="E667" s="81"/>
      <c r="F667" s="81"/>
      <c r="G667" s="81"/>
      <c r="H667" s="81"/>
      <c r="I667" s="2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</row>
    <row r="668" ht="17.25" customHeight="1">
      <c r="A668" s="24"/>
      <c r="B668" s="24"/>
      <c r="C668" s="24"/>
      <c r="D668" s="81"/>
      <c r="E668" s="81"/>
      <c r="F668" s="81"/>
      <c r="G668" s="81"/>
      <c r="H668" s="81"/>
      <c r="I668" s="2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</row>
    <row r="669" ht="17.25" customHeight="1">
      <c r="A669" s="24"/>
      <c r="B669" s="24"/>
      <c r="C669" s="24"/>
      <c r="D669" s="81"/>
      <c r="E669" s="81"/>
      <c r="F669" s="81"/>
      <c r="G669" s="81"/>
      <c r="H669" s="81"/>
      <c r="I669" s="2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</row>
    <row r="670" ht="17.25" customHeight="1">
      <c r="A670" s="24"/>
      <c r="B670" s="24"/>
      <c r="C670" s="24"/>
      <c r="D670" s="81"/>
      <c r="E670" s="81"/>
      <c r="F670" s="81"/>
      <c r="G670" s="81"/>
      <c r="H670" s="81"/>
      <c r="I670" s="2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</row>
    <row r="671" ht="17.25" customHeight="1">
      <c r="A671" s="24"/>
      <c r="B671" s="24"/>
      <c r="C671" s="24"/>
      <c r="D671" s="81"/>
      <c r="E671" s="81"/>
      <c r="F671" s="81"/>
      <c r="G671" s="81"/>
      <c r="H671" s="81"/>
      <c r="I671" s="2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</row>
    <row r="672" ht="17.25" customHeight="1">
      <c r="A672" s="24"/>
      <c r="B672" s="24"/>
      <c r="C672" s="24"/>
      <c r="D672" s="81"/>
      <c r="E672" s="81"/>
      <c r="F672" s="81"/>
      <c r="G672" s="81"/>
      <c r="H672" s="81"/>
      <c r="I672" s="2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</row>
    <row r="673" ht="17.25" customHeight="1">
      <c r="A673" s="24"/>
      <c r="B673" s="24"/>
      <c r="C673" s="24"/>
      <c r="D673" s="81"/>
      <c r="E673" s="81"/>
      <c r="F673" s="81"/>
      <c r="G673" s="81"/>
      <c r="H673" s="81"/>
      <c r="I673" s="2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</row>
    <row r="674" ht="17.25" customHeight="1">
      <c r="A674" s="24"/>
      <c r="B674" s="24"/>
      <c r="C674" s="24"/>
      <c r="D674" s="81"/>
      <c r="E674" s="81"/>
      <c r="F674" s="81"/>
      <c r="G674" s="81"/>
      <c r="H674" s="81"/>
      <c r="I674" s="2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</row>
    <row r="675" ht="17.25" customHeight="1">
      <c r="A675" s="24"/>
      <c r="B675" s="24"/>
      <c r="C675" s="24"/>
      <c r="D675" s="81"/>
      <c r="E675" s="81"/>
      <c r="F675" s="81"/>
      <c r="G675" s="81"/>
      <c r="H675" s="81"/>
      <c r="I675" s="2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</row>
    <row r="676" ht="17.25" customHeight="1">
      <c r="A676" s="24"/>
      <c r="B676" s="24"/>
      <c r="C676" s="24"/>
      <c r="D676" s="81"/>
      <c r="E676" s="81"/>
      <c r="F676" s="81"/>
      <c r="G676" s="81"/>
      <c r="H676" s="81"/>
      <c r="I676" s="2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</row>
    <row r="677" ht="17.25" customHeight="1">
      <c r="A677" s="24"/>
      <c r="B677" s="24"/>
      <c r="C677" s="24"/>
      <c r="D677" s="81"/>
      <c r="E677" s="81"/>
      <c r="F677" s="81"/>
      <c r="G677" s="81"/>
      <c r="H677" s="81"/>
      <c r="I677" s="2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</row>
    <row r="678" ht="17.25" customHeight="1">
      <c r="A678" s="24"/>
      <c r="B678" s="24"/>
      <c r="C678" s="24"/>
      <c r="D678" s="81"/>
      <c r="E678" s="81"/>
      <c r="F678" s="81"/>
      <c r="G678" s="81"/>
      <c r="H678" s="81"/>
      <c r="I678" s="2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</row>
    <row r="679" ht="17.25" customHeight="1">
      <c r="A679" s="24"/>
      <c r="B679" s="24"/>
      <c r="C679" s="24"/>
      <c r="D679" s="81"/>
      <c r="E679" s="81"/>
      <c r="F679" s="81"/>
      <c r="G679" s="81"/>
      <c r="H679" s="81"/>
      <c r="I679" s="2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</row>
    <row r="680" ht="17.25" customHeight="1">
      <c r="A680" s="24"/>
      <c r="B680" s="24"/>
      <c r="C680" s="24"/>
      <c r="D680" s="81"/>
      <c r="E680" s="81"/>
      <c r="F680" s="81"/>
      <c r="G680" s="81"/>
      <c r="H680" s="81"/>
      <c r="I680" s="2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</row>
    <row r="681" ht="17.25" customHeight="1">
      <c r="A681" s="24"/>
      <c r="B681" s="24"/>
      <c r="C681" s="24"/>
      <c r="D681" s="81"/>
      <c r="E681" s="81"/>
      <c r="F681" s="81"/>
      <c r="G681" s="81"/>
      <c r="H681" s="81"/>
      <c r="I681" s="2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</row>
    <row r="682" ht="17.25" customHeight="1">
      <c r="A682" s="24"/>
      <c r="B682" s="24"/>
      <c r="C682" s="24"/>
      <c r="D682" s="81"/>
      <c r="E682" s="81"/>
      <c r="F682" s="81"/>
      <c r="G682" s="81"/>
      <c r="H682" s="81"/>
      <c r="I682" s="2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</row>
    <row r="683" ht="17.25" customHeight="1">
      <c r="A683" s="24"/>
      <c r="B683" s="24"/>
      <c r="C683" s="24"/>
      <c r="D683" s="81"/>
      <c r="E683" s="81"/>
      <c r="F683" s="81"/>
      <c r="G683" s="81"/>
      <c r="H683" s="81"/>
      <c r="I683" s="2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</row>
    <row r="684" ht="17.25" customHeight="1">
      <c r="A684" s="24"/>
      <c r="B684" s="24"/>
      <c r="C684" s="24"/>
      <c r="D684" s="81"/>
      <c r="E684" s="81"/>
      <c r="F684" s="81"/>
      <c r="G684" s="81"/>
      <c r="H684" s="81"/>
      <c r="I684" s="2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</row>
    <row r="685" ht="17.25" customHeight="1">
      <c r="A685" s="24"/>
      <c r="B685" s="24"/>
      <c r="C685" s="24"/>
      <c r="D685" s="81"/>
      <c r="E685" s="81"/>
      <c r="F685" s="81"/>
      <c r="G685" s="81"/>
      <c r="H685" s="81"/>
      <c r="I685" s="2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</row>
    <row r="686" ht="17.25" customHeight="1">
      <c r="A686" s="24"/>
      <c r="B686" s="24"/>
      <c r="C686" s="24"/>
      <c r="D686" s="81"/>
      <c r="E686" s="81"/>
      <c r="F686" s="81"/>
      <c r="G686" s="81"/>
      <c r="H686" s="81"/>
      <c r="I686" s="2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</row>
    <row r="687" ht="17.25" customHeight="1">
      <c r="A687" s="24"/>
      <c r="B687" s="24"/>
      <c r="C687" s="24"/>
      <c r="D687" s="81"/>
      <c r="E687" s="81"/>
      <c r="F687" s="81"/>
      <c r="G687" s="81"/>
      <c r="H687" s="81"/>
      <c r="I687" s="2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</row>
    <row r="688" ht="17.25" customHeight="1">
      <c r="A688" s="24"/>
      <c r="B688" s="24"/>
      <c r="C688" s="24"/>
      <c r="D688" s="81"/>
      <c r="E688" s="81"/>
      <c r="F688" s="81"/>
      <c r="G688" s="81"/>
      <c r="H688" s="81"/>
      <c r="I688" s="2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</row>
    <row r="689" ht="17.25" customHeight="1">
      <c r="A689" s="24"/>
      <c r="B689" s="24"/>
      <c r="C689" s="24"/>
      <c r="D689" s="81"/>
      <c r="E689" s="81"/>
      <c r="F689" s="81"/>
      <c r="G689" s="81"/>
      <c r="H689" s="81"/>
      <c r="I689" s="2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</row>
    <row r="690" ht="17.25" customHeight="1">
      <c r="A690" s="24"/>
      <c r="B690" s="24"/>
      <c r="C690" s="24"/>
      <c r="D690" s="81"/>
      <c r="E690" s="81"/>
      <c r="F690" s="81"/>
      <c r="G690" s="81"/>
      <c r="H690" s="81"/>
      <c r="I690" s="2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</row>
    <row r="691" ht="17.25" customHeight="1">
      <c r="A691" s="24"/>
      <c r="B691" s="24"/>
      <c r="C691" s="24"/>
      <c r="D691" s="81"/>
      <c r="E691" s="81"/>
      <c r="F691" s="81"/>
      <c r="G691" s="81"/>
      <c r="H691" s="81"/>
      <c r="I691" s="2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</row>
    <row r="692" ht="17.25" customHeight="1">
      <c r="A692" s="24"/>
      <c r="B692" s="24"/>
      <c r="C692" s="24"/>
      <c r="D692" s="81"/>
      <c r="E692" s="81"/>
      <c r="F692" s="81"/>
      <c r="G692" s="81"/>
      <c r="H692" s="81"/>
      <c r="I692" s="2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</row>
    <row r="693" ht="17.25" customHeight="1">
      <c r="A693" s="24"/>
      <c r="B693" s="24"/>
      <c r="C693" s="24"/>
      <c r="D693" s="81"/>
      <c r="E693" s="81"/>
      <c r="F693" s="81"/>
      <c r="G693" s="81"/>
      <c r="H693" s="81"/>
      <c r="I693" s="2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</row>
    <row r="694" ht="17.25" customHeight="1">
      <c r="A694" s="24"/>
      <c r="B694" s="24"/>
      <c r="C694" s="24"/>
      <c r="D694" s="81"/>
      <c r="E694" s="81"/>
      <c r="F694" s="81"/>
      <c r="G694" s="81"/>
      <c r="H694" s="81"/>
      <c r="I694" s="2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</row>
    <row r="695" ht="17.25" customHeight="1">
      <c r="A695" s="24"/>
      <c r="B695" s="24"/>
      <c r="C695" s="24"/>
      <c r="D695" s="81"/>
      <c r="E695" s="81"/>
      <c r="F695" s="81"/>
      <c r="G695" s="81"/>
      <c r="H695" s="81"/>
      <c r="I695" s="2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</row>
    <row r="696" ht="17.25" customHeight="1">
      <c r="A696" s="24"/>
      <c r="B696" s="24"/>
      <c r="C696" s="24"/>
      <c r="D696" s="81"/>
      <c r="E696" s="81"/>
      <c r="F696" s="81"/>
      <c r="G696" s="81"/>
      <c r="H696" s="81"/>
      <c r="I696" s="2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</row>
    <row r="697" ht="17.25" customHeight="1">
      <c r="A697" s="24"/>
      <c r="B697" s="24"/>
      <c r="C697" s="24"/>
      <c r="D697" s="81"/>
      <c r="E697" s="81"/>
      <c r="F697" s="81"/>
      <c r="G697" s="81"/>
      <c r="H697" s="81"/>
      <c r="I697" s="2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</row>
    <row r="698" ht="17.25" customHeight="1">
      <c r="A698" s="24"/>
      <c r="B698" s="24"/>
      <c r="C698" s="24"/>
      <c r="D698" s="81"/>
      <c r="E698" s="81"/>
      <c r="F698" s="81"/>
      <c r="G698" s="81"/>
      <c r="H698" s="81"/>
      <c r="I698" s="2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</row>
    <row r="699" ht="17.25" customHeight="1">
      <c r="A699" s="24"/>
      <c r="B699" s="24"/>
      <c r="C699" s="24"/>
      <c r="D699" s="81"/>
      <c r="E699" s="81"/>
      <c r="F699" s="81"/>
      <c r="G699" s="81"/>
      <c r="H699" s="81"/>
      <c r="I699" s="2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</row>
    <row r="700" ht="17.25" customHeight="1">
      <c r="A700" s="24"/>
      <c r="B700" s="24"/>
      <c r="C700" s="24"/>
      <c r="D700" s="81"/>
      <c r="E700" s="81"/>
      <c r="F700" s="81"/>
      <c r="G700" s="81"/>
      <c r="H700" s="81"/>
      <c r="I700" s="2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</row>
    <row r="701" ht="17.25" customHeight="1">
      <c r="A701" s="24"/>
      <c r="B701" s="24"/>
      <c r="C701" s="24"/>
      <c r="D701" s="81"/>
      <c r="E701" s="81"/>
      <c r="F701" s="81"/>
      <c r="G701" s="81"/>
      <c r="H701" s="81"/>
      <c r="I701" s="2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</row>
    <row r="702" ht="17.25" customHeight="1">
      <c r="A702" s="24"/>
      <c r="B702" s="24"/>
      <c r="C702" s="24"/>
      <c r="D702" s="81"/>
      <c r="E702" s="81"/>
      <c r="F702" s="81"/>
      <c r="G702" s="81"/>
      <c r="H702" s="81"/>
      <c r="I702" s="2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</row>
    <row r="703" ht="17.25" customHeight="1">
      <c r="A703" s="24"/>
      <c r="B703" s="24"/>
      <c r="C703" s="24"/>
      <c r="D703" s="81"/>
      <c r="E703" s="81"/>
      <c r="F703" s="81"/>
      <c r="G703" s="81"/>
      <c r="H703" s="81"/>
      <c r="I703" s="2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</row>
    <row r="704" ht="17.25" customHeight="1">
      <c r="A704" s="24"/>
      <c r="B704" s="24"/>
      <c r="C704" s="24"/>
      <c r="D704" s="81"/>
      <c r="E704" s="81"/>
      <c r="F704" s="81"/>
      <c r="G704" s="81"/>
      <c r="H704" s="81"/>
      <c r="I704" s="2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</row>
    <row r="705" ht="17.25" customHeight="1">
      <c r="A705" s="24"/>
      <c r="B705" s="24"/>
      <c r="C705" s="24"/>
      <c r="D705" s="81"/>
      <c r="E705" s="81"/>
      <c r="F705" s="81"/>
      <c r="G705" s="81"/>
      <c r="H705" s="81"/>
      <c r="I705" s="2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</row>
    <row r="706" ht="17.25" customHeight="1">
      <c r="A706" s="24"/>
      <c r="B706" s="24"/>
      <c r="C706" s="24"/>
      <c r="D706" s="81"/>
      <c r="E706" s="81"/>
      <c r="F706" s="81"/>
      <c r="G706" s="81"/>
      <c r="H706" s="81"/>
      <c r="I706" s="2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</row>
    <row r="707" ht="17.25" customHeight="1">
      <c r="A707" s="24"/>
      <c r="B707" s="24"/>
      <c r="C707" s="24"/>
      <c r="D707" s="81"/>
      <c r="E707" s="81"/>
      <c r="F707" s="81"/>
      <c r="G707" s="81"/>
      <c r="H707" s="81"/>
      <c r="I707" s="2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</row>
    <row r="708" ht="17.25" customHeight="1">
      <c r="A708" s="24"/>
      <c r="B708" s="24"/>
      <c r="C708" s="24"/>
      <c r="D708" s="81"/>
      <c r="E708" s="81"/>
      <c r="F708" s="81"/>
      <c r="G708" s="81"/>
      <c r="H708" s="81"/>
      <c r="I708" s="2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</row>
    <row r="709" ht="17.25" customHeight="1">
      <c r="A709" s="24"/>
      <c r="B709" s="24"/>
      <c r="C709" s="24"/>
      <c r="D709" s="81"/>
      <c r="E709" s="81"/>
      <c r="F709" s="81"/>
      <c r="G709" s="81"/>
      <c r="H709" s="81"/>
      <c r="I709" s="2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</row>
    <row r="710" ht="17.25" customHeight="1">
      <c r="A710" s="24"/>
      <c r="B710" s="24"/>
      <c r="C710" s="24"/>
      <c r="D710" s="81"/>
      <c r="E710" s="81"/>
      <c r="F710" s="81"/>
      <c r="G710" s="81"/>
      <c r="H710" s="81"/>
      <c r="I710" s="2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</row>
    <row r="711" ht="17.25" customHeight="1">
      <c r="A711" s="24"/>
      <c r="B711" s="24"/>
      <c r="C711" s="24"/>
      <c r="D711" s="81"/>
      <c r="E711" s="81"/>
      <c r="F711" s="81"/>
      <c r="G711" s="81"/>
      <c r="H711" s="81"/>
      <c r="I711" s="2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</row>
    <row r="712" ht="17.25" customHeight="1">
      <c r="A712" s="24"/>
      <c r="B712" s="24"/>
      <c r="C712" s="24"/>
      <c r="D712" s="81"/>
      <c r="E712" s="81"/>
      <c r="F712" s="81"/>
      <c r="G712" s="81"/>
      <c r="H712" s="81"/>
      <c r="I712" s="2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</row>
    <row r="713" ht="17.25" customHeight="1">
      <c r="A713" s="24"/>
      <c r="B713" s="24"/>
      <c r="C713" s="24"/>
      <c r="D713" s="81"/>
      <c r="E713" s="81"/>
      <c r="F713" s="81"/>
      <c r="G713" s="81"/>
      <c r="H713" s="81"/>
      <c r="I713" s="2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</row>
    <row r="714" ht="17.25" customHeight="1">
      <c r="A714" s="24"/>
      <c r="B714" s="24"/>
      <c r="C714" s="24"/>
      <c r="D714" s="81"/>
      <c r="E714" s="81"/>
      <c r="F714" s="81"/>
      <c r="G714" s="81"/>
      <c r="H714" s="81"/>
      <c r="I714" s="2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</row>
    <row r="715" ht="17.25" customHeight="1">
      <c r="A715" s="24"/>
      <c r="B715" s="24"/>
      <c r="C715" s="24"/>
      <c r="D715" s="81"/>
      <c r="E715" s="81"/>
      <c r="F715" s="81"/>
      <c r="G715" s="81"/>
      <c r="H715" s="81"/>
      <c r="I715" s="2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</row>
    <row r="716" ht="17.25" customHeight="1">
      <c r="A716" s="24"/>
      <c r="B716" s="24"/>
      <c r="C716" s="24"/>
      <c r="D716" s="81"/>
      <c r="E716" s="81"/>
      <c r="F716" s="81"/>
      <c r="G716" s="81"/>
      <c r="H716" s="81"/>
      <c r="I716" s="2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</row>
    <row r="717" ht="17.25" customHeight="1">
      <c r="A717" s="24"/>
      <c r="B717" s="24"/>
      <c r="C717" s="24"/>
      <c r="D717" s="81"/>
      <c r="E717" s="81"/>
      <c r="F717" s="81"/>
      <c r="G717" s="81"/>
      <c r="H717" s="81"/>
      <c r="I717" s="2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</row>
    <row r="718" ht="17.25" customHeight="1">
      <c r="A718" s="24"/>
      <c r="B718" s="24"/>
      <c r="C718" s="24"/>
      <c r="D718" s="81"/>
      <c r="E718" s="81"/>
      <c r="F718" s="81"/>
      <c r="G718" s="81"/>
      <c r="H718" s="81"/>
      <c r="I718" s="2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</row>
    <row r="719" ht="17.25" customHeight="1">
      <c r="A719" s="24"/>
      <c r="B719" s="24"/>
      <c r="C719" s="24"/>
      <c r="D719" s="81"/>
      <c r="E719" s="81"/>
      <c r="F719" s="81"/>
      <c r="G719" s="81"/>
      <c r="H719" s="81"/>
      <c r="I719" s="2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</row>
    <row r="720" ht="17.25" customHeight="1">
      <c r="A720" s="24"/>
      <c r="B720" s="24"/>
      <c r="C720" s="24"/>
      <c r="D720" s="81"/>
      <c r="E720" s="81"/>
      <c r="F720" s="81"/>
      <c r="G720" s="81"/>
      <c r="H720" s="81"/>
      <c r="I720" s="2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</row>
    <row r="721" ht="17.25" customHeight="1">
      <c r="A721" s="24"/>
      <c r="B721" s="24"/>
      <c r="C721" s="24"/>
      <c r="D721" s="81"/>
      <c r="E721" s="81"/>
      <c r="F721" s="81"/>
      <c r="G721" s="81"/>
      <c r="H721" s="81"/>
      <c r="I721" s="2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</row>
    <row r="722" ht="17.25" customHeight="1">
      <c r="A722" s="24"/>
      <c r="B722" s="24"/>
      <c r="C722" s="24"/>
      <c r="D722" s="81"/>
      <c r="E722" s="81"/>
      <c r="F722" s="81"/>
      <c r="G722" s="81"/>
      <c r="H722" s="81"/>
      <c r="I722" s="2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</row>
    <row r="723" ht="17.25" customHeight="1">
      <c r="A723" s="24"/>
      <c r="B723" s="24"/>
      <c r="C723" s="24"/>
      <c r="D723" s="81"/>
      <c r="E723" s="81"/>
      <c r="F723" s="81"/>
      <c r="G723" s="81"/>
      <c r="H723" s="81"/>
      <c r="I723" s="2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</row>
    <row r="724" ht="17.25" customHeight="1">
      <c r="A724" s="24"/>
      <c r="B724" s="24"/>
      <c r="C724" s="24"/>
      <c r="D724" s="81"/>
      <c r="E724" s="81"/>
      <c r="F724" s="81"/>
      <c r="G724" s="81"/>
      <c r="H724" s="81"/>
      <c r="I724" s="2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</row>
    <row r="725" ht="17.25" customHeight="1">
      <c r="A725" s="24"/>
      <c r="B725" s="24"/>
      <c r="C725" s="24"/>
      <c r="D725" s="81"/>
      <c r="E725" s="81"/>
      <c r="F725" s="81"/>
      <c r="G725" s="81"/>
      <c r="H725" s="81"/>
      <c r="I725" s="2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</row>
    <row r="726" ht="17.25" customHeight="1">
      <c r="A726" s="24"/>
      <c r="B726" s="24"/>
      <c r="C726" s="24"/>
      <c r="D726" s="81"/>
      <c r="E726" s="81"/>
      <c r="F726" s="81"/>
      <c r="G726" s="81"/>
      <c r="H726" s="81"/>
      <c r="I726" s="2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</row>
    <row r="727" ht="17.25" customHeight="1">
      <c r="A727" s="24"/>
      <c r="B727" s="24"/>
      <c r="C727" s="24"/>
      <c r="D727" s="81"/>
      <c r="E727" s="81"/>
      <c r="F727" s="81"/>
      <c r="G727" s="81"/>
      <c r="H727" s="81"/>
      <c r="I727" s="2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</row>
    <row r="728" ht="17.25" customHeight="1">
      <c r="A728" s="24"/>
      <c r="B728" s="24"/>
      <c r="C728" s="24"/>
      <c r="D728" s="81"/>
      <c r="E728" s="81"/>
      <c r="F728" s="81"/>
      <c r="G728" s="81"/>
      <c r="H728" s="81"/>
      <c r="I728" s="2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</row>
    <row r="729" ht="17.25" customHeight="1">
      <c r="A729" s="24"/>
      <c r="B729" s="24"/>
      <c r="C729" s="24"/>
      <c r="D729" s="81"/>
      <c r="E729" s="81"/>
      <c r="F729" s="81"/>
      <c r="G729" s="81"/>
      <c r="H729" s="81"/>
      <c r="I729" s="2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</row>
    <row r="730" ht="17.25" customHeight="1">
      <c r="A730" s="24"/>
      <c r="B730" s="24"/>
      <c r="C730" s="24"/>
      <c r="D730" s="81"/>
      <c r="E730" s="81"/>
      <c r="F730" s="81"/>
      <c r="G730" s="81"/>
      <c r="H730" s="81"/>
      <c r="I730" s="2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</row>
    <row r="731" ht="17.25" customHeight="1">
      <c r="A731" s="24"/>
      <c r="B731" s="24"/>
      <c r="C731" s="24"/>
      <c r="D731" s="81"/>
      <c r="E731" s="81"/>
      <c r="F731" s="81"/>
      <c r="G731" s="81"/>
      <c r="H731" s="81"/>
      <c r="I731" s="2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</row>
    <row r="732" ht="17.25" customHeight="1">
      <c r="A732" s="24"/>
      <c r="B732" s="24"/>
      <c r="C732" s="24"/>
      <c r="D732" s="81"/>
      <c r="E732" s="81"/>
      <c r="F732" s="81"/>
      <c r="G732" s="81"/>
      <c r="H732" s="81"/>
      <c r="I732" s="2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</row>
    <row r="733" ht="17.25" customHeight="1">
      <c r="A733" s="24"/>
      <c r="B733" s="24"/>
      <c r="C733" s="24"/>
      <c r="D733" s="81"/>
      <c r="E733" s="81"/>
      <c r="F733" s="81"/>
      <c r="G733" s="81"/>
      <c r="H733" s="81"/>
      <c r="I733" s="2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</row>
    <row r="734" ht="17.25" customHeight="1">
      <c r="A734" s="24"/>
      <c r="B734" s="24"/>
      <c r="C734" s="24"/>
      <c r="D734" s="81"/>
      <c r="E734" s="81"/>
      <c r="F734" s="81"/>
      <c r="G734" s="81"/>
      <c r="H734" s="81"/>
      <c r="I734" s="2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</row>
    <row r="735" ht="17.25" customHeight="1">
      <c r="A735" s="24"/>
      <c r="B735" s="24"/>
      <c r="C735" s="24"/>
      <c r="D735" s="81"/>
      <c r="E735" s="81"/>
      <c r="F735" s="81"/>
      <c r="G735" s="81"/>
      <c r="H735" s="81"/>
      <c r="I735" s="2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</row>
    <row r="736" ht="17.25" customHeight="1">
      <c r="A736" s="24"/>
      <c r="B736" s="24"/>
      <c r="C736" s="24"/>
      <c r="D736" s="81"/>
      <c r="E736" s="81"/>
      <c r="F736" s="81"/>
      <c r="G736" s="81"/>
      <c r="H736" s="81"/>
      <c r="I736" s="2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</row>
    <row r="737" ht="17.25" customHeight="1">
      <c r="A737" s="24"/>
      <c r="B737" s="24"/>
      <c r="C737" s="24"/>
      <c r="D737" s="81"/>
      <c r="E737" s="81"/>
      <c r="F737" s="81"/>
      <c r="G737" s="81"/>
      <c r="H737" s="81"/>
      <c r="I737" s="2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</row>
    <row r="738" ht="17.25" customHeight="1">
      <c r="A738" s="24"/>
      <c r="B738" s="24"/>
      <c r="C738" s="24"/>
      <c r="D738" s="81"/>
      <c r="E738" s="81"/>
      <c r="F738" s="81"/>
      <c r="G738" s="81"/>
      <c r="H738" s="81"/>
      <c r="I738" s="2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</row>
    <row r="739" ht="17.25" customHeight="1">
      <c r="A739" s="24"/>
      <c r="B739" s="24"/>
      <c r="C739" s="24"/>
      <c r="D739" s="81"/>
      <c r="E739" s="81"/>
      <c r="F739" s="81"/>
      <c r="G739" s="81"/>
      <c r="H739" s="81"/>
      <c r="I739" s="2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</row>
    <row r="740" ht="17.25" customHeight="1">
      <c r="A740" s="24"/>
      <c r="B740" s="24"/>
      <c r="C740" s="24"/>
      <c r="D740" s="81"/>
      <c r="E740" s="81"/>
      <c r="F740" s="81"/>
      <c r="G740" s="81"/>
      <c r="H740" s="81"/>
      <c r="I740" s="2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</row>
    <row r="741" ht="17.25" customHeight="1">
      <c r="A741" s="24"/>
      <c r="B741" s="24"/>
      <c r="C741" s="24"/>
      <c r="D741" s="81"/>
      <c r="E741" s="81"/>
      <c r="F741" s="81"/>
      <c r="G741" s="81"/>
      <c r="H741" s="81"/>
      <c r="I741" s="2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</row>
    <row r="742" ht="17.25" customHeight="1">
      <c r="A742" s="24"/>
      <c r="B742" s="24"/>
      <c r="C742" s="24"/>
      <c r="D742" s="81"/>
      <c r="E742" s="81"/>
      <c r="F742" s="81"/>
      <c r="G742" s="81"/>
      <c r="H742" s="81"/>
      <c r="I742" s="2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</row>
    <row r="743" ht="17.25" customHeight="1">
      <c r="A743" s="24"/>
      <c r="B743" s="24"/>
      <c r="C743" s="24"/>
      <c r="D743" s="81"/>
      <c r="E743" s="81"/>
      <c r="F743" s="81"/>
      <c r="G743" s="81"/>
      <c r="H743" s="81"/>
      <c r="I743" s="2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</row>
    <row r="744" ht="17.25" customHeight="1">
      <c r="A744" s="24"/>
      <c r="B744" s="24"/>
      <c r="C744" s="24"/>
      <c r="D744" s="81"/>
      <c r="E744" s="81"/>
      <c r="F744" s="81"/>
      <c r="G744" s="81"/>
      <c r="H744" s="81"/>
      <c r="I744" s="2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</row>
    <row r="745" ht="17.25" customHeight="1">
      <c r="A745" s="24"/>
      <c r="B745" s="24"/>
      <c r="C745" s="24"/>
      <c r="D745" s="81"/>
      <c r="E745" s="81"/>
      <c r="F745" s="81"/>
      <c r="G745" s="81"/>
      <c r="H745" s="81"/>
      <c r="I745" s="2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</row>
    <row r="746" ht="17.25" customHeight="1">
      <c r="A746" s="24"/>
      <c r="B746" s="24"/>
      <c r="C746" s="24"/>
      <c r="D746" s="81"/>
      <c r="E746" s="81"/>
      <c r="F746" s="81"/>
      <c r="G746" s="81"/>
      <c r="H746" s="81"/>
      <c r="I746" s="2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</row>
    <row r="747" ht="17.25" customHeight="1">
      <c r="A747" s="24"/>
      <c r="B747" s="24"/>
      <c r="C747" s="24"/>
      <c r="D747" s="81"/>
      <c r="E747" s="81"/>
      <c r="F747" s="81"/>
      <c r="G747" s="81"/>
      <c r="H747" s="81"/>
      <c r="I747" s="2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</row>
    <row r="748" ht="17.25" customHeight="1">
      <c r="A748" s="24"/>
      <c r="B748" s="24"/>
      <c r="C748" s="24"/>
      <c r="D748" s="81"/>
      <c r="E748" s="81"/>
      <c r="F748" s="81"/>
      <c r="G748" s="81"/>
      <c r="H748" s="81"/>
      <c r="I748" s="2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</row>
    <row r="749" ht="17.25" customHeight="1">
      <c r="A749" s="24"/>
      <c r="B749" s="24"/>
      <c r="C749" s="24"/>
      <c r="D749" s="81"/>
      <c r="E749" s="81"/>
      <c r="F749" s="81"/>
      <c r="G749" s="81"/>
      <c r="H749" s="81"/>
      <c r="I749" s="2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</row>
    <row r="750" ht="17.25" customHeight="1">
      <c r="A750" s="24"/>
      <c r="B750" s="24"/>
      <c r="C750" s="24"/>
      <c r="D750" s="81"/>
      <c r="E750" s="81"/>
      <c r="F750" s="81"/>
      <c r="G750" s="81"/>
      <c r="H750" s="81"/>
      <c r="I750" s="2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</row>
    <row r="751" ht="17.25" customHeight="1">
      <c r="A751" s="24"/>
      <c r="B751" s="24"/>
      <c r="C751" s="24"/>
      <c r="D751" s="81"/>
      <c r="E751" s="81"/>
      <c r="F751" s="81"/>
      <c r="G751" s="81"/>
      <c r="H751" s="81"/>
      <c r="I751" s="2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</row>
    <row r="752" ht="17.25" customHeight="1">
      <c r="A752" s="24"/>
      <c r="B752" s="24"/>
      <c r="C752" s="24"/>
      <c r="D752" s="81"/>
      <c r="E752" s="81"/>
      <c r="F752" s="81"/>
      <c r="G752" s="81"/>
      <c r="H752" s="81"/>
      <c r="I752" s="2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</row>
    <row r="753" ht="17.25" customHeight="1">
      <c r="A753" s="24"/>
      <c r="B753" s="24"/>
      <c r="C753" s="24"/>
      <c r="D753" s="81"/>
      <c r="E753" s="81"/>
      <c r="F753" s="81"/>
      <c r="G753" s="81"/>
      <c r="H753" s="81"/>
      <c r="I753" s="2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</row>
    <row r="754" ht="17.25" customHeight="1">
      <c r="A754" s="24"/>
      <c r="B754" s="24"/>
      <c r="C754" s="24"/>
      <c r="D754" s="81"/>
      <c r="E754" s="81"/>
      <c r="F754" s="81"/>
      <c r="G754" s="81"/>
      <c r="H754" s="81"/>
      <c r="I754" s="2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</row>
    <row r="755" ht="17.25" customHeight="1">
      <c r="A755" s="24"/>
      <c r="B755" s="24"/>
      <c r="C755" s="24"/>
      <c r="D755" s="81"/>
      <c r="E755" s="81"/>
      <c r="F755" s="81"/>
      <c r="G755" s="81"/>
      <c r="H755" s="81"/>
      <c r="I755" s="2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</row>
    <row r="756" ht="17.25" customHeight="1">
      <c r="A756" s="24"/>
      <c r="B756" s="24"/>
      <c r="C756" s="24"/>
      <c r="D756" s="81"/>
      <c r="E756" s="81"/>
      <c r="F756" s="81"/>
      <c r="G756" s="81"/>
      <c r="H756" s="81"/>
      <c r="I756" s="2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</row>
    <row r="757" ht="17.25" customHeight="1">
      <c r="A757" s="24"/>
      <c r="B757" s="24"/>
      <c r="C757" s="24"/>
      <c r="D757" s="81"/>
      <c r="E757" s="81"/>
      <c r="F757" s="81"/>
      <c r="G757" s="81"/>
      <c r="H757" s="81"/>
      <c r="I757" s="2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</row>
    <row r="758" ht="17.25" customHeight="1">
      <c r="A758" s="24"/>
      <c r="B758" s="24"/>
      <c r="C758" s="24"/>
      <c r="D758" s="81"/>
      <c r="E758" s="81"/>
      <c r="F758" s="81"/>
      <c r="G758" s="81"/>
      <c r="H758" s="81"/>
      <c r="I758" s="2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</row>
    <row r="759" ht="17.25" customHeight="1">
      <c r="A759" s="24"/>
      <c r="B759" s="24"/>
      <c r="C759" s="24"/>
      <c r="D759" s="81"/>
      <c r="E759" s="81"/>
      <c r="F759" s="81"/>
      <c r="G759" s="81"/>
      <c r="H759" s="81"/>
      <c r="I759" s="2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</row>
    <row r="760" ht="17.25" customHeight="1">
      <c r="A760" s="24"/>
      <c r="B760" s="24"/>
      <c r="C760" s="24"/>
      <c r="D760" s="81"/>
      <c r="E760" s="81"/>
      <c r="F760" s="81"/>
      <c r="G760" s="81"/>
      <c r="H760" s="81"/>
      <c r="I760" s="2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</row>
    <row r="761" ht="17.25" customHeight="1">
      <c r="A761" s="24"/>
      <c r="B761" s="24"/>
      <c r="C761" s="24"/>
      <c r="D761" s="81"/>
      <c r="E761" s="81"/>
      <c r="F761" s="81"/>
      <c r="G761" s="81"/>
      <c r="H761" s="81"/>
      <c r="I761" s="2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</row>
    <row r="762" ht="17.25" customHeight="1">
      <c r="A762" s="24"/>
      <c r="B762" s="24"/>
      <c r="C762" s="24"/>
      <c r="D762" s="81"/>
      <c r="E762" s="81"/>
      <c r="F762" s="81"/>
      <c r="G762" s="81"/>
      <c r="H762" s="81"/>
      <c r="I762" s="2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</row>
    <row r="763" ht="17.25" customHeight="1">
      <c r="A763" s="24"/>
      <c r="B763" s="24"/>
      <c r="C763" s="24"/>
      <c r="D763" s="81"/>
      <c r="E763" s="81"/>
      <c r="F763" s="81"/>
      <c r="G763" s="81"/>
      <c r="H763" s="81"/>
      <c r="I763" s="2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</row>
    <row r="764" ht="17.25" customHeight="1">
      <c r="A764" s="24"/>
      <c r="B764" s="24"/>
      <c r="C764" s="24"/>
      <c r="D764" s="81"/>
      <c r="E764" s="81"/>
      <c r="F764" s="81"/>
      <c r="G764" s="81"/>
      <c r="H764" s="81"/>
      <c r="I764" s="2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</row>
    <row r="765" ht="17.25" customHeight="1">
      <c r="A765" s="24"/>
      <c r="B765" s="24"/>
      <c r="C765" s="24"/>
      <c r="D765" s="81"/>
      <c r="E765" s="81"/>
      <c r="F765" s="81"/>
      <c r="G765" s="81"/>
      <c r="H765" s="81"/>
      <c r="I765" s="2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</row>
    <row r="766" ht="17.25" customHeight="1">
      <c r="A766" s="24"/>
      <c r="B766" s="24"/>
      <c r="C766" s="24"/>
      <c r="D766" s="81"/>
      <c r="E766" s="81"/>
      <c r="F766" s="81"/>
      <c r="G766" s="81"/>
      <c r="H766" s="81"/>
      <c r="I766" s="2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</row>
    <row r="767" ht="17.25" customHeight="1">
      <c r="A767" s="24"/>
      <c r="B767" s="24"/>
      <c r="C767" s="24"/>
      <c r="D767" s="81"/>
      <c r="E767" s="81"/>
      <c r="F767" s="81"/>
      <c r="G767" s="81"/>
      <c r="H767" s="81"/>
      <c r="I767" s="2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</row>
    <row r="768" ht="17.25" customHeight="1">
      <c r="A768" s="24"/>
      <c r="B768" s="24"/>
      <c r="C768" s="24"/>
      <c r="D768" s="81"/>
      <c r="E768" s="81"/>
      <c r="F768" s="81"/>
      <c r="G768" s="81"/>
      <c r="H768" s="81"/>
      <c r="I768" s="2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</row>
    <row r="769" ht="17.25" customHeight="1">
      <c r="A769" s="24"/>
      <c r="B769" s="24"/>
      <c r="C769" s="24"/>
      <c r="D769" s="81"/>
      <c r="E769" s="81"/>
      <c r="F769" s="81"/>
      <c r="G769" s="81"/>
      <c r="H769" s="81"/>
      <c r="I769" s="2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</row>
    <row r="770" ht="17.25" customHeight="1">
      <c r="A770" s="24"/>
      <c r="B770" s="24"/>
      <c r="C770" s="24"/>
      <c r="D770" s="81"/>
      <c r="E770" s="81"/>
      <c r="F770" s="81"/>
      <c r="G770" s="81"/>
      <c r="H770" s="81"/>
      <c r="I770" s="2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</row>
    <row r="771" ht="17.25" customHeight="1">
      <c r="A771" s="24"/>
      <c r="B771" s="24"/>
      <c r="C771" s="24"/>
      <c r="D771" s="81"/>
      <c r="E771" s="81"/>
      <c r="F771" s="81"/>
      <c r="G771" s="81"/>
      <c r="H771" s="81"/>
      <c r="I771" s="2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</row>
    <row r="772" ht="17.25" customHeight="1">
      <c r="A772" s="24"/>
      <c r="B772" s="24"/>
      <c r="C772" s="24"/>
      <c r="D772" s="81"/>
      <c r="E772" s="81"/>
      <c r="F772" s="81"/>
      <c r="G772" s="81"/>
      <c r="H772" s="81"/>
      <c r="I772" s="2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</row>
    <row r="773" ht="17.25" customHeight="1">
      <c r="A773" s="24"/>
      <c r="B773" s="24"/>
      <c r="C773" s="24"/>
      <c r="D773" s="81"/>
      <c r="E773" s="81"/>
      <c r="F773" s="81"/>
      <c r="G773" s="81"/>
      <c r="H773" s="81"/>
      <c r="I773" s="2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</row>
    <row r="774" ht="17.25" customHeight="1">
      <c r="A774" s="24"/>
      <c r="B774" s="24"/>
      <c r="C774" s="24"/>
      <c r="D774" s="81"/>
      <c r="E774" s="81"/>
      <c r="F774" s="81"/>
      <c r="G774" s="81"/>
      <c r="H774" s="81"/>
      <c r="I774" s="2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</row>
    <row r="775" ht="17.25" customHeight="1">
      <c r="A775" s="24"/>
      <c r="B775" s="24"/>
      <c r="C775" s="24"/>
      <c r="D775" s="81"/>
      <c r="E775" s="81"/>
      <c r="F775" s="81"/>
      <c r="G775" s="81"/>
      <c r="H775" s="81"/>
      <c r="I775" s="2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</row>
    <row r="776" ht="17.25" customHeight="1">
      <c r="A776" s="24"/>
      <c r="B776" s="24"/>
      <c r="C776" s="24"/>
      <c r="D776" s="81"/>
      <c r="E776" s="81"/>
      <c r="F776" s="81"/>
      <c r="G776" s="81"/>
      <c r="H776" s="81"/>
      <c r="I776" s="2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</row>
    <row r="777" ht="17.25" customHeight="1">
      <c r="A777" s="24"/>
      <c r="B777" s="24"/>
      <c r="C777" s="24"/>
      <c r="D777" s="81"/>
      <c r="E777" s="81"/>
      <c r="F777" s="81"/>
      <c r="G777" s="81"/>
      <c r="H777" s="81"/>
      <c r="I777" s="2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</row>
    <row r="778" ht="17.25" customHeight="1">
      <c r="A778" s="24"/>
      <c r="B778" s="24"/>
      <c r="C778" s="24"/>
      <c r="D778" s="81"/>
      <c r="E778" s="81"/>
      <c r="F778" s="81"/>
      <c r="G778" s="81"/>
      <c r="H778" s="81"/>
      <c r="I778" s="2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</row>
    <row r="779" ht="17.25" customHeight="1">
      <c r="A779" s="24"/>
      <c r="B779" s="24"/>
      <c r="C779" s="24"/>
      <c r="D779" s="81"/>
      <c r="E779" s="81"/>
      <c r="F779" s="81"/>
      <c r="G779" s="81"/>
      <c r="H779" s="81"/>
      <c r="I779" s="2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</row>
    <row r="780" ht="17.25" customHeight="1">
      <c r="A780" s="24"/>
      <c r="B780" s="24"/>
      <c r="C780" s="24"/>
      <c r="D780" s="81"/>
      <c r="E780" s="81"/>
      <c r="F780" s="81"/>
      <c r="G780" s="81"/>
      <c r="H780" s="81"/>
      <c r="I780" s="2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</row>
    <row r="781" ht="17.25" customHeight="1">
      <c r="A781" s="24"/>
      <c r="B781" s="24"/>
      <c r="C781" s="24"/>
      <c r="D781" s="81"/>
      <c r="E781" s="81"/>
      <c r="F781" s="81"/>
      <c r="G781" s="81"/>
      <c r="H781" s="81"/>
      <c r="I781" s="2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</row>
    <row r="782" ht="17.25" customHeight="1">
      <c r="A782" s="24"/>
      <c r="B782" s="24"/>
      <c r="C782" s="24"/>
      <c r="D782" s="81"/>
      <c r="E782" s="81"/>
      <c r="F782" s="81"/>
      <c r="G782" s="81"/>
      <c r="H782" s="81"/>
      <c r="I782" s="2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</row>
    <row r="783" ht="17.25" customHeight="1">
      <c r="A783" s="24"/>
      <c r="B783" s="24"/>
      <c r="C783" s="24"/>
      <c r="D783" s="81"/>
      <c r="E783" s="81"/>
      <c r="F783" s="81"/>
      <c r="G783" s="81"/>
      <c r="H783" s="81"/>
      <c r="I783" s="2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</row>
    <row r="784" ht="17.25" customHeight="1">
      <c r="A784" s="24"/>
      <c r="B784" s="24"/>
      <c r="C784" s="24"/>
      <c r="D784" s="81"/>
      <c r="E784" s="81"/>
      <c r="F784" s="81"/>
      <c r="G784" s="81"/>
      <c r="H784" s="81"/>
      <c r="I784" s="2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</row>
    <row r="785" ht="17.25" customHeight="1">
      <c r="A785" s="24"/>
      <c r="B785" s="24"/>
      <c r="C785" s="24"/>
      <c r="D785" s="81"/>
      <c r="E785" s="81"/>
      <c r="F785" s="81"/>
      <c r="G785" s="81"/>
      <c r="H785" s="81"/>
      <c r="I785" s="2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</row>
    <row r="786" ht="17.25" customHeight="1">
      <c r="A786" s="24"/>
      <c r="B786" s="24"/>
      <c r="C786" s="24"/>
      <c r="D786" s="81"/>
      <c r="E786" s="81"/>
      <c r="F786" s="81"/>
      <c r="G786" s="81"/>
      <c r="H786" s="81"/>
      <c r="I786" s="2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</row>
    <row r="787" ht="17.25" customHeight="1">
      <c r="A787" s="24"/>
      <c r="B787" s="24"/>
      <c r="C787" s="24"/>
      <c r="D787" s="81"/>
      <c r="E787" s="81"/>
      <c r="F787" s="81"/>
      <c r="G787" s="81"/>
      <c r="H787" s="81"/>
      <c r="I787" s="2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</row>
    <row r="788" ht="17.25" customHeight="1">
      <c r="A788" s="24"/>
      <c r="B788" s="24"/>
      <c r="C788" s="24"/>
      <c r="D788" s="81"/>
      <c r="E788" s="81"/>
      <c r="F788" s="81"/>
      <c r="G788" s="81"/>
      <c r="H788" s="81"/>
      <c r="I788" s="2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</row>
    <row r="789" ht="17.25" customHeight="1">
      <c r="A789" s="24"/>
      <c r="B789" s="24"/>
      <c r="C789" s="24"/>
      <c r="D789" s="81"/>
      <c r="E789" s="81"/>
      <c r="F789" s="81"/>
      <c r="G789" s="81"/>
      <c r="H789" s="81"/>
      <c r="I789" s="2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</row>
    <row r="790" ht="17.25" customHeight="1">
      <c r="A790" s="24"/>
      <c r="B790" s="24"/>
      <c r="C790" s="24"/>
      <c r="D790" s="81"/>
      <c r="E790" s="81"/>
      <c r="F790" s="81"/>
      <c r="G790" s="81"/>
      <c r="H790" s="81"/>
      <c r="I790" s="2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</row>
    <row r="791" ht="17.25" customHeight="1">
      <c r="A791" s="24"/>
      <c r="B791" s="24"/>
      <c r="C791" s="24"/>
      <c r="D791" s="81"/>
      <c r="E791" s="81"/>
      <c r="F791" s="81"/>
      <c r="G791" s="81"/>
      <c r="H791" s="81"/>
      <c r="I791" s="2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</row>
    <row r="792" ht="17.25" customHeight="1">
      <c r="A792" s="24"/>
      <c r="B792" s="24"/>
      <c r="C792" s="24"/>
      <c r="D792" s="81"/>
      <c r="E792" s="81"/>
      <c r="F792" s="81"/>
      <c r="G792" s="81"/>
      <c r="H792" s="81"/>
      <c r="I792" s="2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</row>
    <row r="793" ht="17.25" customHeight="1">
      <c r="A793" s="24"/>
      <c r="B793" s="24"/>
      <c r="C793" s="24"/>
      <c r="D793" s="81"/>
      <c r="E793" s="81"/>
      <c r="F793" s="81"/>
      <c r="G793" s="81"/>
      <c r="H793" s="81"/>
      <c r="I793" s="2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</row>
    <row r="794" ht="17.25" customHeight="1">
      <c r="A794" s="24"/>
      <c r="B794" s="24"/>
      <c r="C794" s="24"/>
      <c r="D794" s="81"/>
      <c r="E794" s="81"/>
      <c r="F794" s="81"/>
      <c r="G794" s="81"/>
      <c r="H794" s="81"/>
      <c r="I794" s="2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</row>
    <row r="795" ht="17.25" customHeight="1">
      <c r="A795" s="24"/>
      <c r="B795" s="24"/>
      <c r="C795" s="24"/>
      <c r="D795" s="81"/>
      <c r="E795" s="81"/>
      <c r="F795" s="81"/>
      <c r="G795" s="81"/>
      <c r="H795" s="81"/>
      <c r="I795" s="2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</row>
    <row r="796" ht="17.25" customHeight="1">
      <c r="A796" s="24"/>
      <c r="B796" s="24"/>
      <c r="C796" s="24"/>
      <c r="D796" s="81"/>
      <c r="E796" s="81"/>
      <c r="F796" s="81"/>
      <c r="G796" s="81"/>
      <c r="H796" s="81"/>
      <c r="I796" s="2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</row>
    <row r="797" ht="17.25" customHeight="1">
      <c r="A797" s="24"/>
      <c r="B797" s="24"/>
      <c r="C797" s="24"/>
      <c r="D797" s="81"/>
      <c r="E797" s="81"/>
      <c r="F797" s="81"/>
      <c r="G797" s="81"/>
      <c r="H797" s="81"/>
      <c r="I797" s="2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</row>
    <row r="798" ht="17.25" customHeight="1">
      <c r="A798" s="24"/>
      <c r="B798" s="24"/>
      <c r="C798" s="24"/>
      <c r="D798" s="81"/>
      <c r="E798" s="81"/>
      <c r="F798" s="81"/>
      <c r="G798" s="81"/>
      <c r="H798" s="81"/>
      <c r="I798" s="2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</row>
    <row r="799" ht="17.25" customHeight="1">
      <c r="A799" s="24"/>
      <c r="B799" s="24"/>
      <c r="C799" s="24"/>
      <c r="D799" s="81"/>
      <c r="E799" s="81"/>
      <c r="F799" s="81"/>
      <c r="G799" s="81"/>
      <c r="H799" s="81"/>
      <c r="I799" s="2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</row>
    <row r="800" ht="17.25" customHeight="1">
      <c r="A800" s="24"/>
      <c r="B800" s="24"/>
      <c r="C800" s="24"/>
      <c r="D800" s="81"/>
      <c r="E800" s="81"/>
      <c r="F800" s="81"/>
      <c r="G800" s="81"/>
      <c r="H800" s="81"/>
      <c r="I800" s="2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</row>
    <row r="801" ht="17.25" customHeight="1">
      <c r="A801" s="24"/>
      <c r="B801" s="24"/>
      <c r="C801" s="24"/>
      <c r="D801" s="81"/>
      <c r="E801" s="81"/>
      <c r="F801" s="81"/>
      <c r="G801" s="81"/>
      <c r="H801" s="81"/>
      <c r="I801" s="2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</row>
    <row r="802" ht="17.25" customHeight="1">
      <c r="A802" s="24"/>
      <c r="B802" s="24"/>
      <c r="C802" s="24"/>
      <c r="D802" s="81"/>
      <c r="E802" s="81"/>
      <c r="F802" s="81"/>
      <c r="G802" s="81"/>
      <c r="H802" s="81"/>
      <c r="I802" s="2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</row>
    <row r="803" ht="17.25" customHeight="1">
      <c r="A803" s="24"/>
      <c r="B803" s="24"/>
      <c r="C803" s="24"/>
      <c r="D803" s="81"/>
      <c r="E803" s="81"/>
      <c r="F803" s="81"/>
      <c r="G803" s="81"/>
      <c r="H803" s="81"/>
      <c r="I803" s="2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</row>
    <row r="804" ht="17.25" customHeight="1">
      <c r="A804" s="24"/>
      <c r="B804" s="24"/>
      <c r="C804" s="24"/>
      <c r="D804" s="81"/>
      <c r="E804" s="81"/>
      <c r="F804" s="81"/>
      <c r="G804" s="81"/>
      <c r="H804" s="81"/>
      <c r="I804" s="2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</row>
    <row r="805" ht="17.25" customHeight="1">
      <c r="A805" s="24"/>
      <c r="B805" s="24"/>
      <c r="C805" s="24"/>
      <c r="D805" s="81"/>
      <c r="E805" s="81"/>
      <c r="F805" s="81"/>
      <c r="G805" s="81"/>
      <c r="H805" s="81"/>
      <c r="I805" s="2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</row>
    <row r="806" ht="17.25" customHeight="1">
      <c r="A806" s="24"/>
      <c r="B806" s="24"/>
      <c r="C806" s="24"/>
      <c r="D806" s="81"/>
      <c r="E806" s="81"/>
      <c r="F806" s="81"/>
      <c r="G806" s="81"/>
      <c r="H806" s="81"/>
      <c r="I806" s="2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</row>
    <row r="807" ht="17.25" customHeight="1">
      <c r="A807" s="24"/>
      <c r="B807" s="24"/>
      <c r="C807" s="24"/>
      <c r="D807" s="81"/>
      <c r="E807" s="81"/>
      <c r="F807" s="81"/>
      <c r="G807" s="81"/>
      <c r="H807" s="81"/>
      <c r="I807" s="2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</row>
    <row r="808" ht="17.25" customHeight="1">
      <c r="A808" s="24"/>
      <c r="B808" s="24"/>
      <c r="C808" s="24"/>
      <c r="D808" s="81"/>
      <c r="E808" s="81"/>
      <c r="F808" s="81"/>
      <c r="G808" s="81"/>
      <c r="H808" s="81"/>
      <c r="I808" s="2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</row>
    <row r="809" ht="17.25" customHeight="1">
      <c r="A809" s="24"/>
      <c r="B809" s="24"/>
      <c r="C809" s="24"/>
      <c r="D809" s="81"/>
      <c r="E809" s="81"/>
      <c r="F809" s="81"/>
      <c r="G809" s="81"/>
      <c r="H809" s="81"/>
      <c r="I809" s="2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</row>
    <row r="810" ht="17.25" customHeight="1">
      <c r="A810" s="24"/>
      <c r="B810" s="24"/>
      <c r="C810" s="24"/>
      <c r="D810" s="81"/>
      <c r="E810" s="81"/>
      <c r="F810" s="81"/>
      <c r="G810" s="81"/>
      <c r="H810" s="81"/>
      <c r="I810" s="2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</row>
    <row r="811" ht="17.25" customHeight="1">
      <c r="A811" s="24"/>
      <c r="B811" s="24"/>
      <c r="C811" s="24"/>
      <c r="D811" s="81"/>
      <c r="E811" s="81"/>
      <c r="F811" s="81"/>
      <c r="G811" s="81"/>
      <c r="H811" s="81"/>
      <c r="I811" s="2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</row>
    <row r="812" ht="17.25" customHeight="1">
      <c r="A812" s="24"/>
      <c r="B812" s="24"/>
      <c r="C812" s="24"/>
      <c r="D812" s="81"/>
      <c r="E812" s="81"/>
      <c r="F812" s="81"/>
      <c r="G812" s="81"/>
      <c r="H812" s="81"/>
      <c r="I812" s="2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</row>
    <row r="813" ht="17.25" customHeight="1">
      <c r="A813" s="24"/>
      <c r="B813" s="24"/>
      <c r="C813" s="24"/>
      <c r="D813" s="81"/>
      <c r="E813" s="81"/>
      <c r="F813" s="81"/>
      <c r="G813" s="81"/>
      <c r="H813" s="81"/>
      <c r="I813" s="2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</row>
    <row r="814" ht="17.25" customHeight="1">
      <c r="A814" s="24"/>
      <c r="B814" s="24"/>
      <c r="C814" s="24"/>
      <c r="D814" s="81"/>
      <c r="E814" s="81"/>
      <c r="F814" s="81"/>
      <c r="G814" s="81"/>
      <c r="H814" s="81"/>
      <c r="I814" s="2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</row>
    <row r="815" ht="17.25" customHeight="1">
      <c r="A815" s="24"/>
      <c r="B815" s="24"/>
      <c r="C815" s="24"/>
      <c r="D815" s="81"/>
      <c r="E815" s="81"/>
      <c r="F815" s="81"/>
      <c r="G815" s="81"/>
      <c r="H815" s="81"/>
      <c r="I815" s="2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</row>
    <row r="816" ht="17.25" customHeight="1">
      <c r="A816" s="24"/>
      <c r="B816" s="24"/>
      <c r="C816" s="24"/>
      <c r="D816" s="81"/>
      <c r="E816" s="81"/>
      <c r="F816" s="81"/>
      <c r="G816" s="81"/>
      <c r="H816" s="81"/>
      <c r="I816" s="2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</row>
    <row r="817" ht="17.25" customHeight="1">
      <c r="A817" s="24"/>
      <c r="B817" s="24"/>
      <c r="C817" s="24"/>
      <c r="D817" s="81"/>
      <c r="E817" s="81"/>
      <c r="F817" s="81"/>
      <c r="G817" s="81"/>
      <c r="H817" s="81"/>
      <c r="I817" s="2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</row>
    <row r="818" ht="17.25" customHeight="1">
      <c r="A818" s="24"/>
      <c r="B818" s="24"/>
      <c r="C818" s="24"/>
      <c r="D818" s="81"/>
      <c r="E818" s="81"/>
      <c r="F818" s="81"/>
      <c r="G818" s="81"/>
      <c r="H818" s="81"/>
      <c r="I818" s="2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</row>
    <row r="819" ht="17.25" customHeight="1">
      <c r="A819" s="24"/>
      <c r="B819" s="24"/>
      <c r="C819" s="24"/>
      <c r="D819" s="81"/>
      <c r="E819" s="81"/>
      <c r="F819" s="81"/>
      <c r="G819" s="81"/>
      <c r="H819" s="81"/>
      <c r="I819" s="2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</row>
    <row r="820" ht="17.25" customHeight="1">
      <c r="A820" s="24"/>
      <c r="B820" s="24"/>
      <c r="C820" s="24"/>
      <c r="D820" s="81"/>
      <c r="E820" s="81"/>
      <c r="F820" s="81"/>
      <c r="G820" s="81"/>
      <c r="H820" s="81"/>
      <c r="I820" s="2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</row>
    <row r="821" ht="17.25" customHeight="1">
      <c r="A821" s="24"/>
      <c r="B821" s="24"/>
      <c r="C821" s="24"/>
      <c r="D821" s="81"/>
      <c r="E821" s="81"/>
      <c r="F821" s="81"/>
      <c r="G821" s="81"/>
      <c r="H821" s="81"/>
      <c r="I821" s="2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</row>
    <row r="822" ht="17.25" customHeight="1">
      <c r="A822" s="24"/>
      <c r="B822" s="24"/>
      <c r="C822" s="24"/>
      <c r="D822" s="81"/>
      <c r="E822" s="81"/>
      <c r="F822" s="81"/>
      <c r="G822" s="81"/>
      <c r="H822" s="81"/>
      <c r="I822" s="2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</row>
    <row r="823" ht="17.25" customHeight="1">
      <c r="A823" s="24"/>
      <c r="B823" s="24"/>
      <c r="C823" s="24"/>
      <c r="D823" s="81"/>
      <c r="E823" s="81"/>
      <c r="F823" s="81"/>
      <c r="G823" s="81"/>
      <c r="H823" s="81"/>
      <c r="I823" s="2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</row>
    <row r="824" ht="17.25" customHeight="1">
      <c r="A824" s="24"/>
      <c r="B824" s="24"/>
      <c r="C824" s="24"/>
      <c r="D824" s="81"/>
      <c r="E824" s="81"/>
      <c r="F824" s="81"/>
      <c r="G824" s="81"/>
      <c r="H824" s="81"/>
      <c r="I824" s="2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</row>
    <row r="825" ht="17.25" customHeight="1">
      <c r="A825" s="24"/>
      <c r="B825" s="24"/>
      <c r="C825" s="24"/>
      <c r="D825" s="81"/>
      <c r="E825" s="81"/>
      <c r="F825" s="81"/>
      <c r="G825" s="81"/>
      <c r="H825" s="81"/>
      <c r="I825" s="2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</row>
    <row r="826" ht="17.25" customHeight="1">
      <c r="A826" s="24"/>
      <c r="B826" s="24"/>
      <c r="C826" s="24"/>
      <c r="D826" s="81"/>
      <c r="E826" s="81"/>
      <c r="F826" s="81"/>
      <c r="G826" s="81"/>
      <c r="H826" s="81"/>
      <c r="I826" s="2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</row>
    <row r="827" ht="17.25" customHeight="1">
      <c r="A827" s="24"/>
      <c r="B827" s="24"/>
      <c r="C827" s="24"/>
      <c r="D827" s="81"/>
      <c r="E827" s="81"/>
      <c r="F827" s="81"/>
      <c r="G827" s="81"/>
      <c r="H827" s="81"/>
      <c r="I827" s="2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</row>
    <row r="828" ht="17.25" customHeight="1">
      <c r="A828" s="24"/>
      <c r="B828" s="24"/>
      <c r="C828" s="24"/>
      <c r="D828" s="81"/>
      <c r="E828" s="81"/>
      <c r="F828" s="81"/>
      <c r="G828" s="81"/>
      <c r="H828" s="81"/>
      <c r="I828" s="2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</row>
    <row r="829" ht="17.25" customHeight="1">
      <c r="A829" s="24"/>
      <c r="B829" s="24"/>
      <c r="C829" s="24"/>
      <c r="D829" s="81"/>
      <c r="E829" s="81"/>
      <c r="F829" s="81"/>
      <c r="G829" s="81"/>
      <c r="H829" s="81"/>
      <c r="I829" s="2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</row>
    <row r="830" ht="17.25" customHeight="1">
      <c r="A830" s="24"/>
      <c r="B830" s="24"/>
      <c r="C830" s="24"/>
      <c r="D830" s="81"/>
      <c r="E830" s="81"/>
      <c r="F830" s="81"/>
      <c r="G830" s="81"/>
      <c r="H830" s="81"/>
      <c r="I830" s="2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</row>
    <row r="831" ht="17.25" customHeight="1">
      <c r="A831" s="24"/>
      <c r="B831" s="24"/>
      <c r="C831" s="24"/>
      <c r="D831" s="81"/>
      <c r="E831" s="81"/>
      <c r="F831" s="81"/>
      <c r="G831" s="81"/>
      <c r="H831" s="81"/>
      <c r="I831" s="2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</row>
    <row r="832" ht="17.25" customHeight="1">
      <c r="A832" s="24"/>
      <c r="B832" s="24"/>
      <c r="C832" s="24"/>
      <c r="D832" s="81"/>
      <c r="E832" s="81"/>
      <c r="F832" s="81"/>
      <c r="G832" s="81"/>
      <c r="H832" s="81"/>
      <c r="I832" s="2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</row>
    <row r="833" ht="17.25" customHeight="1">
      <c r="A833" s="24"/>
      <c r="B833" s="24"/>
      <c r="C833" s="24"/>
      <c r="D833" s="81"/>
      <c r="E833" s="81"/>
      <c r="F833" s="81"/>
      <c r="G833" s="81"/>
      <c r="H833" s="81"/>
      <c r="I833" s="2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</row>
    <row r="834" ht="17.25" customHeight="1">
      <c r="A834" s="24"/>
      <c r="B834" s="24"/>
      <c r="C834" s="24"/>
      <c r="D834" s="81"/>
      <c r="E834" s="81"/>
      <c r="F834" s="81"/>
      <c r="G834" s="81"/>
      <c r="H834" s="81"/>
      <c r="I834" s="2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</row>
    <row r="835" ht="17.25" customHeight="1">
      <c r="A835" s="24"/>
      <c r="B835" s="24"/>
      <c r="C835" s="24"/>
      <c r="D835" s="81"/>
      <c r="E835" s="81"/>
      <c r="F835" s="81"/>
      <c r="G835" s="81"/>
      <c r="H835" s="81"/>
      <c r="I835" s="2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</row>
    <row r="836" ht="17.25" customHeight="1">
      <c r="A836" s="24"/>
      <c r="B836" s="24"/>
      <c r="C836" s="24"/>
      <c r="D836" s="81"/>
      <c r="E836" s="81"/>
      <c r="F836" s="81"/>
      <c r="G836" s="81"/>
      <c r="H836" s="81"/>
      <c r="I836" s="2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</row>
    <row r="837" ht="17.25" customHeight="1">
      <c r="A837" s="24"/>
      <c r="B837" s="24"/>
      <c r="C837" s="24"/>
      <c r="D837" s="81"/>
      <c r="E837" s="81"/>
      <c r="F837" s="81"/>
      <c r="G837" s="81"/>
      <c r="H837" s="81"/>
      <c r="I837" s="2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</row>
    <row r="838" ht="17.25" customHeight="1">
      <c r="A838" s="24"/>
      <c r="B838" s="24"/>
      <c r="C838" s="24"/>
      <c r="D838" s="81"/>
      <c r="E838" s="81"/>
      <c r="F838" s="81"/>
      <c r="G838" s="81"/>
      <c r="H838" s="81"/>
      <c r="I838" s="2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</row>
    <row r="839" ht="17.25" customHeight="1">
      <c r="A839" s="24"/>
      <c r="B839" s="24"/>
      <c r="C839" s="24"/>
      <c r="D839" s="81"/>
      <c r="E839" s="81"/>
      <c r="F839" s="81"/>
      <c r="G839" s="81"/>
      <c r="H839" s="81"/>
      <c r="I839" s="2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</row>
    <row r="840" ht="17.25" customHeight="1">
      <c r="A840" s="24"/>
      <c r="B840" s="24"/>
      <c r="C840" s="24"/>
      <c r="D840" s="81"/>
      <c r="E840" s="81"/>
      <c r="F840" s="81"/>
      <c r="G840" s="81"/>
      <c r="H840" s="81"/>
      <c r="I840" s="2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</row>
    <row r="841" ht="17.25" customHeight="1">
      <c r="A841" s="24"/>
      <c r="B841" s="24"/>
      <c r="C841" s="24"/>
      <c r="D841" s="81"/>
      <c r="E841" s="81"/>
      <c r="F841" s="81"/>
      <c r="G841" s="81"/>
      <c r="H841" s="81"/>
      <c r="I841" s="2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</row>
    <row r="842" ht="17.25" customHeight="1">
      <c r="A842" s="24"/>
      <c r="B842" s="24"/>
      <c r="C842" s="24"/>
      <c r="D842" s="81"/>
      <c r="E842" s="81"/>
      <c r="F842" s="81"/>
      <c r="G842" s="81"/>
      <c r="H842" s="81"/>
      <c r="I842" s="2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</row>
    <row r="843" ht="17.25" customHeight="1">
      <c r="A843" s="24"/>
      <c r="B843" s="24"/>
      <c r="C843" s="24"/>
      <c r="D843" s="81"/>
      <c r="E843" s="81"/>
      <c r="F843" s="81"/>
      <c r="G843" s="81"/>
      <c r="H843" s="81"/>
      <c r="I843" s="2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</row>
    <row r="844" ht="17.25" customHeight="1">
      <c r="A844" s="24"/>
      <c r="B844" s="24"/>
      <c r="C844" s="24"/>
      <c r="D844" s="81"/>
      <c r="E844" s="81"/>
      <c r="F844" s="81"/>
      <c r="G844" s="81"/>
      <c r="H844" s="81"/>
      <c r="I844" s="2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</row>
    <row r="845" ht="17.25" customHeight="1">
      <c r="A845" s="24"/>
      <c r="B845" s="24"/>
      <c r="C845" s="24"/>
      <c r="D845" s="81"/>
      <c r="E845" s="81"/>
      <c r="F845" s="81"/>
      <c r="G845" s="81"/>
      <c r="H845" s="81"/>
      <c r="I845" s="2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</row>
    <row r="846" ht="17.25" customHeight="1">
      <c r="A846" s="24"/>
      <c r="B846" s="24"/>
      <c r="C846" s="24"/>
      <c r="D846" s="81"/>
      <c r="E846" s="81"/>
      <c r="F846" s="81"/>
      <c r="G846" s="81"/>
      <c r="H846" s="81"/>
      <c r="I846" s="2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</row>
    <row r="847" ht="17.25" customHeight="1">
      <c r="A847" s="24"/>
      <c r="B847" s="24"/>
      <c r="C847" s="24"/>
      <c r="D847" s="81"/>
      <c r="E847" s="81"/>
      <c r="F847" s="81"/>
      <c r="G847" s="81"/>
      <c r="H847" s="81"/>
      <c r="I847" s="2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</row>
    <row r="848" ht="17.25" customHeight="1">
      <c r="A848" s="24"/>
      <c r="B848" s="24"/>
      <c r="C848" s="24"/>
      <c r="D848" s="81"/>
      <c r="E848" s="81"/>
      <c r="F848" s="81"/>
      <c r="G848" s="81"/>
      <c r="H848" s="81"/>
      <c r="I848" s="2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</row>
    <row r="849" ht="17.25" customHeight="1">
      <c r="A849" s="24"/>
      <c r="B849" s="24"/>
      <c r="C849" s="24"/>
      <c r="D849" s="81"/>
      <c r="E849" s="81"/>
      <c r="F849" s="81"/>
      <c r="G849" s="81"/>
      <c r="H849" s="81"/>
      <c r="I849" s="2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</row>
    <row r="850" ht="17.25" customHeight="1">
      <c r="A850" s="24"/>
      <c r="B850" s="24"/>
      <c r="C850" s="24"/>
      <c r="D850" s="81"/>
      <c r="E850" s="81"/>
      <c r="F850" s="81"/>
      <c r="G850" s="81"/>
      <c r="H850" s="81"/>
      <c r="I850" s="2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</row>
    <row r="851" ht="17.25" customHeight="1">
      <c r="A851" s="24"/>
      <c r="B851" s="24"/>
      <c r="C851" s="24"/>
      <c r="D851" s="81"/>
      <c r="E851" s="81"/>
      <c r="F851" s="81"/>
      <c r="G851" s="81"/>
      <c r="H851" s="81"/>
      <c r="I851" s="2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</row>
    <row r="852" ht="17.25" customHeight="1">
      <c r="A852" s="24"/>
      <c r="B852" s="24"/>
      <c r="C852" s="24"/>
      <c r="D852" s="81"/>
      <c r="E852" s="81"/>
      <c r="F852" s="81"/>
      <c r="G852" s="81"/>
      <c r="H852" s="81"/>
      <c r="I852" s="2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</row>
    <row r="853" ht="17.25" customHeight="1">
      <c r="A853" s="24"/>
      <c r="B853" s="24"/>
      <c r="C853" s="24"/>
      <c r="D853" s="81"/>
      <c r="E853" s="81"/>
      <c r="F853" s="81"/>
      <c r="G853" s="81"/>
      <c r="H853" s="81"/>
      <c r="I853" s="2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</row>
    <row r="854" ht="17.25" customHeight="1">
      <c r="A854" s="24"/>
      <c r="B854" s="24"/>
      <c r="C854" s="24"/>
      <c r="D854" s="81"/>
      <c r="E854" s="81"/>
      <c r="F854" s="81"/>
      <c r="G854" s="81"/>
      <c r="H854" s="81"/>
      <c r="I854" s="2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</row>
    <row r="855" ht="17.25" customHeight="1">
      <c r="A855" s="24"/>
      <c r="B855" s="24"/>
      <c r="C855" s="24"/>
      <c r="D855" s="81"/>
      <c r="E855" s="81"/>
      <c r="F855" s="81"/>
      <c r="G855" s="81"/>
      <c r="H855" s="81"/>
      <c r="I855" s="2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</row>
    <row r="856" ht="17.25" customHeight="1">
      <c r="A856" s="24"/>
      <c r="B856" s="24"/>
      <c r="C856" s="24"/>
      <c r="D856" s="81"/>
      <c r="E856" s="81"/>
      <c r="F856" s="81"/>
      <c r="G856" s="81"/>
      <c r="H856" s="81"/>
      <c r="I856" s="2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</row>
    <row r="857" ht="17.25" customHeight="1">
      <c r="A857" s="24"/>
      <c r="B857" s="24"/>
      <c r="C857" s="24"/>
      <c r="D857" s="81"/>
      <c r="E857" s="81"/>
      <c r="F857" s="81"/>
      <c r="G857" s="81"/>
      <c r="H857" s="81"/>
      <c r="I857" s="2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</row>
    <row r="858" ht="17.25" customHeight="1">
      <c r="A858" s="24"/>
      <c r="B858" s="24"/>
      <c r="C858" s="24"/>
      <c r="D858" s="81"/>
      <c r="E858" s="81"/>
      <c r="F858" s="81"/>
      <c r="G858" s="81"/>
      <c r="H858" s="81"/>
      <c r="I858" s="2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</row>
    <row r="859" ht="17.25" customHeight="1">
      <c r="A859" s="24"/>
      <c r="B859" s="24"/>
      <c r="C859" s="24"/>
      <c r="D859" s="81"/>
      <c r="E859" s="81"/>
      <c r="F859" s="81"/>
      <c r="G859" s="81"/>
      <c r="H859" s="81"/>
      <c r="I859" s="2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</row>
    <row r="860" ht="17.25" customHeight="1">
      <c r="A860" s="24"/>
      <c r="B860" s="24"/>
      <c r="C860" s="24"/>
      <c r="D860" s="81"/>
      <c r="E860" s="81"/>
      <c r="F860" s="81"/>
      <c r="G860" s="81"/>
      <c r="H860" s="81"/>
      <c r="I860" s="2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</row>
    <row r="861" ht="17.25" customHeight="1">
      <c r="A861" s="24"/>
      <c r="B861" s="24"/>
      <c r="C861" s="24"/>
      <c r="D861" s="81"/>
      <c r="E861" s="81"/>
      <c r="F861" s="81"/>
      <c r="G861" s="81"/>
      <c r="H861" s="81"/>
      <c r="I861" s="2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</row>
    <row r="862" ht="17.25" customHeight="1">
      <c r="A862" s="24"/>
      <c r="B862" s="24"/>
      <c r="C862" s="24"/>
      <c r="D862" s="81"/>
      <c r="E862" s="81"/>
      <c r="F862" s="81"/>
      <c r="G862" s="81"/>
      <c r="H862" s="81"/>
      <c r="I862" s="2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</row>
    <row r="863" ht="17.25" customHeight="1">
      <c r="A863" s="24"/>
      <c r="B863" s="24"/>
      <c r="C863" s="24"/>
      <c r="D863" s="81"/>
      <c r="E863" s="81"/>
      <c r="F863" s="81"/>
      <c r="G863" s="81"/>
      <c r="H863" s="81"/>
      <c r="I863" s="2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</row>
    <row r="864" ht="17.25" customHeight="1">
      <c r="A864" s="24"/>
      <c r="B864" s="24"/>
      <c r="C864" s="24"/>
      <c r="D864" s="81"/>
      <c r="E864" s="81"/>
      <c r="F864" s="81"/>
      <c r="G864" s="81"/>
      <c r="H864" s="81"/>
      <c r="I864" s="2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</row>
    <row r="865" ht="17.25" customHeight="1">
      <c r="A865" s="24"/>
      <c r="B865" s="24"/>
      <c r="C865" s="24"/>
      <c r="D865" s="81"/>
      <c r="E865" s="81"/>
      <c r="F865" s="81"/>
      <c r="G865" s="81"/>
      <c r="H865" s="81"/>
      <c r="I865" s="2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</row>
    <row r="866" ht="17.25" customHeight="1">
      <c r="A866" s="24"/>
      <c r="B866" s="24"/>
      <c r="C866" s="24"/>
      <c r="D866" s="81"/>
      <c r="E866" s="81"/>
      <c r="F866" s="81"/>
      <c r="G866" s="81"/>
      <c r="H866" s="81"/>
      <c r="I866" s="2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</row>
    <row r="867" ht="17.25" customHeight="1">
      <c r="A867" s="24"/>
      <c r="B867" s="24"/>
      <c r="C867" s="24"/>
      <c r="D867" s="81"/>
      <c r="E867" s="81"/>
      <c r="F867" s="81"/>
      <c r="G867" s="81"/>
      <c r="H867" s="81"/>
      <c r="I867" s="2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</row>
    <row r="868" ht="17.25" customHeight="1">
      <c r="A868" s="24"/>
      <c r="B868" s="24"/>
      <c r="C868" s="24"/>
      <c r="D868" s="81"/>
      <c r="E868" s="81"/>
      <c r="F868" s="81"/>
      <c r="G868" s="81"/>
      <c r="H868" s="81"/>
      <c r="I868" s="2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</row>
    <row r="869" ht="17.25" customHeight="1">
      <c r="A869" s="24"/>
      <c r="B869" s="24"/>
      <c r="C869" s="24"/>
      <c r="D869" s="81"/>
      <c r="E869" s="81"/>
      <c r="F869" s="81"/>
      <c r="G869" s="81"/>
      <c r="H869" s="81"/>
      <c r="I869" s="2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</row>
    <row r="870" ht="17.25" customHeight="1">
      <c r="A870" s="24"/>
      <c r="B870" s="24"/>
      <c r="C870" s="24"/>
      <c r="D870" s="81"/>
      <c r="E870" s="81"/>
      <c r="F870" s="81"/>
      <c r="G870" s="81"/>
      <c r="H870" s="81"/>
      <c r="I870" s="2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</row>
    <row r="871" ht="17.25" customHeight="1">
      <c r="A871" s="24"/>
      <c r="B871" s="24"/>
      <c r="C871" s="24"/>
      <c r="D871" s="81"/>
      <c r="E871" s="81"/>
      <c r="F871" s="81"/>
      <c r="G871" s="81"/>
      <c r="H871" s="81"/>
      <c r="I871" s="2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</row>
    <row r="872" ht="17.25" customHeight="1">
      <c r="A872" s="24"/>
      <c r="B872" s="24"/>
      <c r="C872" s="24"/>
      <c r="D872" s="81"/>
      <c r="E872" s="81"/>
      <c r="F872" s="81"/>
      <c r="G872" s="81"/>
      <c r="H872" s="81"/>
      <c r="I872" s="2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</row>
    <row r="873" ht="17.25" customHeight="1">
      <c r="A873" s="24"/>
      <c r="B873" s="24"/>
      <c r="C873" s="24"/>
      <c r="D873" s="81"/>
      <c r="E873" s="81"/>
      <c r="F873" s="81"/>
      <c r="G873" s="81"/>
      <c r="H873" s="81"/>
      <c r="I873" s="2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</row>
    <row r="874" ht="17.25" customHeight="1">
      <c r="A874" s="24"/>
      <c r="B874" s="24"/>
      <c r="C874" s="24"/>
      <c r="D874" s="81"/>
      <c r="E874" s="81"/>
      <c r="F874" s="81"/>
      <c r="G874" s="81"/>
      <c r="H874" s="81"/>
      <c r="I874" s="2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</row>
    <row r="875" ht="17.25" customHeight="1">
      <c r="A875" s="24"/>
      <c r="B875" s="24"/>
      <c r="C875" s="24"/>
      <c r="D875" s="81"/>
      <c r="E875" s="81"/>
      <c r="F875" s="81"/>
      <c r="G875" s="81"/>
      <c r="H875" s="81"/>
      <c r="I875" s="2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</row>
    <row r="876" ht="17.25" customHeight="1">
      <c r="A876" s="24"/>
      <c r="B876" s="24"/>
      <c r="C876" s="24"/>
      <c r="D876" s="81"/>
      <c r="E876" s="81"/>
      <c r="F876" s="81"/>
      <c r="G876" s="81"/>
      <c r="H876" s="81"/>
      <c r="I876" s="2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</row>
    <row r="877" ht="17.25" customHeight="1">
      <c r="A877" s="24"/>
      <c r="B877" s="24"/>
      <c r="C877" s="24"/>
      <c r="D877" s="81"/>
      <c r="E877" s="81"/>
      <c r="F877" s="81"/>
      <c r="G877" s="81"/>
      <c r="H877" s="81"/>
      <c r="I877" s="2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</row>
    <row r="878" ht="17.25" customHeight="1">
      <c r="A878" s="24"/>
      <c r="B878" s="24"/>
      <c r="C878" s="24"/>
      <c r="D878" s="81"/>
      <c r="E878" s="81"/>
      <c r="F878" s="81"/>
      <c r="G878" s="81"/>
      <c r="H878" s="81"/>
      <c r="I878" s="2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</row>
    <row r="879" ht="17.25" customHeight="1">
      <c r="A879" s="24"/>
      <c r="B879" s="24"/>
      <c r="C879" s="24"/>
      <c r="D879" s="81"/>
      <c r="E879" s="81"/>
      <c r="F879" s="81"/>
      <c r="G879" s="81"/>
      <c r="H879" s="81"/>
      <c r="I879" s="2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</row>
    <row r="880" ht="17.25" customHeight="1">
      <c r="A880" s="24"/>
      <c r="B880" s="24"/>
      <c r="C880" s="24"/>
      <c r="D880" s="81"/>
      <c r="E880" s="81"/>
      <c r="F880" s="81"/>
      <c r="G880" s="81"/>
      <c r="H880" s="81"/>
      <c r="I880" s="2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</row>
    <row r="881" ht="17.25" customHeight="1">
      <c r="A881" s="24"/>
      <c r="B881" s="24"/>
      <c r="C881" s="24"/>
      <c r="D881" s="81"/>
      <c r="E881" s="81"/>
      <c r="F881" s="81"/>
      <c r="G881" s="81"/>
      <c r="H881" s="81"/>
      <c r="I881" s="2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</row>
    <row r="882" ht="17.25" customHeight="1">
      <c r="A882" s="24"/>
      <c r="B882" s="24"/>
      <c r="C882" s="24"/>
      <c r="D882" s="81"/>
      <c r="E882" s="81"/>
      <c r="F882" s="81"/>
      <c r="G882" s="81"/>
      <c r="H882" s="81"/>
      <c r="I882" s="2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</row>
    <row r="883" ht="17.25" customHeight="1">
      <c r="A883" s="24"/>
      <c r="B883" s="24"/>
      <c r="C883" s="24"/>
      <c r="D883" s="81"/>
      <c r="E883" s="81"/>
      <c r="F883" s="81"/>
      <c r="G883" s="81"/>
      <c r="H883" s="81"/>
      <c r="I883" s="2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</row>
    <row r="884" ht="17.25" customHeight="1">
      <c r="A884" s="24"/>
      <c r="B884" s="24"/>
      <c r="C884" s="24"/>
      <c r="D884" s="81"/>
      <c r="E884" s="81"/>
      <c r="F884" s="81"/>
      <c r="G884" s="81"/>
      <c r="H884" s="81"/>
      <c r="I884" s="2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</row>
    <row r="885" ht="17.25" customHeight="1">
      <c r="A885" s="24"/>
      <c r="B885" s="24"/>
      <c r="C885" s="24"/>
      <c r="D885" s="81"/>
      <c r="E885" s="81"/>
      <c r="F885" s="81"/>
      <c r="G885" s="81"/>
      <c r="H885" s="81"/>
      <c r="I885" s="2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</row>
    <row r="886" ht="17.25" customHeight="1">
      <c r="A886" s="24"/>
      <c r="B886" s="24"/>
      <c r="C886" s="24"/>
      <c r="D886" s="81"/>
      <c r="E886" s="81"/>
      <c r="F886" s="81"/>
      <c r="G886" s="81"/>
      <c r="H886" s="81"/>
      <c r="I886" s="2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</row>
    <row r="887" ht="17.25" customHeight="1">
      <c r="A887" s="24"/>
      <c r="B887" s="24"/>
      <c r="C887" s="24"/>
      <c r="D887" s="81"/>
      <c r="E887" s="81"/>
      <c r="F887" s="81"/>
      <c r="G887" s="81"/>
      <c r="H887" s="81"/>
      <c r="I887" s="2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</row>
    <row r="888" ht="17.25" customHeight="1">
      <c r="A888" s="24"/>
      <c r="B888" s="24"/>
      <c r="C888" s="24"/>
      <c r="D888" s="81"/>
      <c r="E888" s="81"/>
      <c r="F888" s="81"/>
      <c r="G888" s="81"/>
      <c r="H888" s="81"/>
      <c r="I888" s="2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</row>
    <row r="889" ht="17.25" customHeight="1">
      <c r="A889" s="24"/>
      <c r="B889" s="24"/>
      <c r="C889" s="24"/>
      <c r="D889" s="81"/>
      <c r="E889" s="81"/>
      <c r="F889" s="81"/>
      <c r="G889" s="81"/>
      <c r="H889" s="81"/>
      <c r="I889" s="2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</row>
    <row r="890" ht="17.25" customHeight="1">
      <c r="A890" s="24"/>
      <c r="B890" s="24"/>
      <c r="C890" s="24"/>
      <c r="D890" s="81"/>
      <c r="E890" s="81"/>
      <c r="F890" s="81"/>
      <c r="G890" s="81"/>
      <c r="H890" s="81"/>
      <c r="I890" s="2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</row>
    <row r="891" ht="17.25" customHeight="1">
      <c r="A891" s="24"/>
      <c r="B891" s="24"/>
      <c r="C891" s="24"/>
      <c r="D891" s="81"/>
      <c r="E891" s="81"/>
      <c r="F891" s="81"/>
      <c r="G891" s="81"/>
      <c r="H891" s="81"/>
      <c r="I891" s="2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</row>
    <row r="892" ht="17.25" customHeight="1">
      <c r="A892" s="24"/>
      <c r="B892" s="24"/>
      <c r="C892" s="24"/>
      <c r="D892" s="81"/>
      <c r="E892" s="81"/>
      <c r="F892" s="81"/>
      <c r="G892" s="81"/>
      <c r="H892" s="81"/>
      <c r="I892" s="2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</row>
    <row r="893" ht="17.25" customHeight="1">
      <c r="A893" s="24"/>
      <c r="B893" s="24"/>
      <c r="C893" s="24"/>
      <c r="D893" s="81"/>
      <c r="E893" s="81"/>
      <c r="F893" s="81"/>
      <c r="G893" s="81"/>
      <c r="H893" s="81"/>
      <c r="I893" s="2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</row>
    <row r="894" ht="17.25" customHeight="1">
      <c r="A894" s="24"/>
      <c r="B894" s="24"/>
      <c r="C894" s="24"/>
      <c r="D894" s="81"/>
      <c r="E894" s="81"/>
      <c r="F894" s="81"/>
      <c r="G894" s="81"/>
      <c r="H894" s="81"/>
      <c r="I894" s="2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</row>
    <row r="895" ht="17.25" customHeight="1">
      <c r="A895" s="24"/>
      <c r="B895" s="24"/>
      <c r="C895" s="24"/>
      <c r="D895" s="81"/>
      <c r="E895" s="81"/>
      <c r="F895" s="81"/>
      <c r="G895" s="81"/>
      <c r="H895" s="81"/>
      <c r="I895" s="2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</row>
    <row r="896" ht="17.25" customHeight="1">
      <c r="A896" s="24"/>
      <c r="B896" s="24"/>
      <c r="C896" s="24"/>
      <c r="D896" s="81"/>
      <c r="E896" s="81"/>
      <c r="F896" s="81"/>
      <c r="G896" s="81"/>
      <c r="H896" s="81"/>
      <c r="I896" s="2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</row>
    <row r="897" ht="17.25" customHeight="1">
      <c r="A897" s="24"/>
      <c r="B897" s="24"/>
      <c r="C897" s="24"/>
      <c r="D897" s="81"/>
      <c r="E897" s="81"/>
      <c r="F897" s="81"/>
      <c r="G897" s="81"/>
      <c r="H897" s="81"/>
      <c r="I897" s="2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</row>
    <row r="898" ht="17.25" customHeight="1">
      <c r="A898" s="24"/>
      <c r="B898" s="24"/>
      <c r="C898" s="24"/>
      <c r="D898" s="81"/>
      <c r="E898" s="81"/>
      <c r="F898" s="81"/>
      <c r="G898" s="81"/>
      <c r="H898" s="81"/>
      <c r="I898" s="2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</row>
    <row r="899" ht="17.25" customHeight="1">
      <c r="A899" s="24"/>
      <c r="B899" s="24"/>
      <c r="C899" s="24"/>
      <c r="D899" s="81"/>
      <c r="E899" s="81"/>
      <c r="F899" s="81"/>
      <c r="G899" s="81"/>
      <c r="H899" s="81"/>
      <c r="I899" s="2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</row>
    <row r="900" ht="17.25" customHeight="1">
      <c r="A900" s="24"/>
      <c r="B900" s="24"/>
      <c r="C900" s="24"/>
      <c r="D900" s="81"/>
      <c r="E900" s="81"/>
      <c r="F900" s="81"/>
      <c r="G900" s="81"/>
      <c r="H900" s="81"/>
      <c r="I900" s="2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</row>
    <row r="901" ht="17.25" customHeight="1">
      <c r="A901" s="24"/>
      <c r="B901" s="24"/>
      <c r="C901" s="24"/>
      <c r="D901" s="81"/>
      <c r="E901" s="81"/>
      <c r="F901" s="81"/>
      <c r="G901" s="81"/>
      <c r="H901" s="81"/>
      <c r="I901" s="2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</row>
    <row r="902" ht="17.25" customHeight="1">
      <c r="A902" s="24"/>
      <c r="B902" s="24"/>
      <c r="C902" s="24"/>
      <c r="D902" s="81"/>
      <c r="E902" s="81"/>
      <c r="F902" s="81"/>
      <c r="G902" s="81"/>
      <c r="H902" s="81"/>
      <c r="I902" s="2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</row>
    <row r="903" ht="17.25" customHeight="1">
      <c r="A903" s="24"/>
      <c r="B903" s="24"/>
      <c r="C903" s="24"/>
      <c r="D903" s="81"/>
      <c r="E903" s="81"/>
      <c r="F903" s="81"/>
      <c r="G903" s="81"/>
      <c r="H903" s="81"/>
      <c r="I903" s="2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</row>
    <row r="904" ht="17.25" customHeight="1">
      <c r="A904" s="24"/>
      <c r="B904" s="24"/>
      <c r="C904" s="24"/>
      <c r="D904" s="81"/>
      <c r="E904" s="81"/>
      <c r="F904" s="81"/>
      <c r="G904" s="81"/>
      <c r="H904" s="81"/>
      <c r="I904" s="2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</row>
    <row r="905" ht="17.25" customHeight="1">
      <c r="A905" s="24"/>
      <c r="B905" s="24"/>
      <c r="C905" s="24"/>
      <c r="D905" s="81"/>
      <c r="E905" s="81"/>
      <c r="F905" s="81"/>
      <c r="G905" s="81"/>
      <c r="H905" s="81"/>
      <c r="I905" s="2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</row>
    <row r="906" ht="17.25" customHeight="1">
      <c r="A906" s="24"/>
      <c r="B906" s="24"/>
      <c r="C906" s="24"/>
      <c r="D906" s="81"/>
      <c r="E906" s="81"/>
      <c r="F906" s="81"/>
      <c r="G906" s="81"/>
      <c r="H906" s="81"/>
      <c r="I906" s="2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</row>
    <row r="907" ht="17.25" customHeight="1">
      <c r="A907" s="24"/>
      <c r="B907" s="24"/>
      <c r="C907" s="24"/>
      <c r="D907" s="81"/>
      <c r="E907" s="81"/>
      <c r="F907" s="81"/>
      <c r="G907" s="81"/>
      <c r="H907" s="81"/>
      <c r="I907" s="2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</row>
    <row r="908" ht="17.25" customHeight="1">
      <c r="A908" s="24"/>
      <c r="B908" s="24"/>
      <c r="C908" s="24"/>
      <c r="D908" s="81"/>
      <c r="E908" s="81"/>
      <c r="F908" s="81"/>
      <c r="G908" s="81"/>
      <c r="H908" s="81"/>
      <c r="I908" s="2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</row>
    <row r="909" ht="17.25" customHeight="1">
      <c r="A909" s="24"/>
      <c r="B909" s="24"/>
      <c r="C909" s="24"/>
      <c r="D909" s="81"/>
      <c r="E909" s="81"/>
      <c r="F909" s="81"/>
      <c r="G909" s="81"/>
      <c r="H909" s="81"/>
      <c r="I909" s="2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</row>
    <row r="910" ht="17.25" customHeight="1">
      <c r="A910" s="24"/>
      <c r="B910" s="24"/>
      <c r="C910" s="24"/>
      <c r="D910" s="81"/>
      <c r="E910" s="81"/>
      <c r="F910" s="81"/>
      <c r="G910" s="81"/>
      <c r="H910" s="81"/>
      <c r="I910" s="2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</row>
    <row r="911" ht="17.25" customHeight="1">
      <c r="A911" s="24"/>
      <c r="B911" s="24"/>
      <c r="C911" s="24"/>
      <c r="D911" s="81"/>
      <c r="E911" s="81"/>
      <c r="F911" s="81"/>
      <c r="G911" s="81"/>
      <c r="H911" s="81"/>
      <c r="I911" s="2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</row>
    <row r="912" ht="17.25" customHeight="1">
      <c r="A912" s="24"/>
      <c r="B912" s="24"/>
      <c r="C912" s="24"/>
      <c r="D912" s="81"/>
      <c r="E912" s="81"/>
      <c r="F912" s="81"/>
      <c r="G912" s="81"/>
      <c r="H912" s="81"/>
      <c r="I912" s="2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</row>
    <row r="913" ht="17.25" customHeight="1">
      <c r="A913" s="24"/>
      <c r="B913" s="24"/>
      <c r="C913" s="24"/>
      <c r="D913" s="81"/>
      <c r="E913" s="81"/>
      <c r="F913" s="81"/>
      <c r="G913" s="81"/>
      <c r="H913" s="81"/>
      <c r="I913" s="2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</row>
    <row r="914" ht="17.25" customHeight="1">
      <c r="A914" s="24"/>
      <c r="B914" s="24"/>
      <c r="C914" s="24"/>
      <c r="D914" s="81"/>
      <c r="E914" s="81"/>
      <c r="F914" s="81"/>
      <c r="G914" s="81"/>
      <c r="H914" s="81"/>
      <c r="I914" s="2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</row>
    <row r="915" ht="17.25" customHeight="1">
      <c r="A915" s="24"/>
      <c r="B915" s="24"/>
      <c r="C915" s="24"/>
      <c r="D915" s="81"/>
      <c r="E915" s="81"/>
      <c r="F915" s="81"/>
      <c r="G915" s="81"/>
      <c r="H915" s="81"/>
      <c r="I915" s="2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</row>
    <row r="916" ht="17.25" customHeight="1">
      <c r="A916" s="24"/>
      <c r="B916" s="24"/>
      <c r="C916" s="24"/>
      <c r="D916" s="81"/>
      <c r="E916" s="81"/>
      <c r="F916" s="81"/>
      <c r="G916" s="81"/>
      <c r="H916" s="81"/>
      <c r="I916" s="2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</row>
    <row r="917" ht="17.25" customHeight="1">
      <c r="A917" s="24"/>
      <c r="B917" s="24"/>
      <c r="C917" s="24"/>
      <c r="D917" s="81"/>
      <c r="E917" s="81"/>
      <c r="F917" s="81"/>
      <c r="G917" s="81"/>
      <c r="H917" s="81"/>
      <c r="I917" s="2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</row>
    <row r="918" ht="17.25" customHeight="1">
      <c r="A918" s="24"/>
      <c r="B918" s="24"/>
      <c r="C918" s="24"/>
      <c r="D918" s="81"/>
      <c r="E918" s="81"/>
      <c r="F918" s="81"/>
      <c r="G918" s="81"/>
      <c r="H918" s="81"/>
      <c r="I918" s="2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</row>
    <row r="919" ht="17.25" customHeight="1">
      <c r="A919" s="24"/>
      <c r="B919" s="24"/>
      <c r="C919" s="24"/>
      <c r="D919" s="81"/>
      <c r="E919" s="81"/>
      <c r="F919" s="81"/>
      <c r="G919" s="81"/>
      <c r="H919" s="81"/>
      <c r="I919" s="2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</row>
    <row r="920" ht="17.25" customHeight="1">
      <c r="A920" s="24"/>
      <c r="B920" s="24"/>
      <c r="C920" s="24"/>
      <c r="D920" s="81"/>
      <c r="E920" s="81"/>
      <c r="F920" s="81"/>
      <c r="G920" s="81"/>
      <c r="H920" s="81"/>
      <c r="I920" s="2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</row>
    <row r="921" ht="17.25" customHeight="1">
      <c r="A921" s="24"/>
      <c r="B921" s="24"/>
      <c r="C921" s="24"/>
      <c r="D921" s="81"/>
      <c r="E921" s="81"/>
      <c r="F921" s="81"/>
      <c r="G921" s="81"/>
      <c r="H921" s="81"/>
      <c r="I921" s="2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</row>
    <row r="922" ht="17.25" customHeight="1">
      <c r="A922" s="24"/>
      <c r="B922" s="24"/>
      <c r="C922" s="24"/>
      <c r="D922" s="81"/>
      <c r="E922" s="81"/>
      <c r="F922" s="81"/>
      <c r="G922" s="81"/>
      <c r="H922" s="81"/>
      <c r="I922" s="2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</row>
    <row r="923" ht="17.25" customHeight="1">
      <c r="A923" s="24"/>
      <c r="B923" s="24"/>
      <c r="C923" s="24"/>
      <c r="D923" s="81"/>
      <c r="E923" s="81"/>
      <c r="F923" s="81"/>
      <c r="G923" s="81"/>
      <c r="H923" s="81"/>
      <c r="I923" s="2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</row>
    <row r="924" ht="17.25" customHeight="1">
      <c r="A924" s="24"/>
      <c r="B924" s="24"/>
      <c r="C924" s="24"/>
      <c r="D924" s="81"/>
      <c r="E924" s="81"/>
      <c r="F924" s="81"/>
      <c r="G924" s="81"/>
      <c r="H924" s="81"/>
      <c r="I924" s="2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</row>
    <row r="925" ht="17.25" customHeight="1">
      <c r="A925" s="24"/>
      <c r="B925" s="24"/>
      <c r="C925" s="24"/>
      <c r="D925" s="81"/>
      <c r="E925" s="81"/>
      <c r="F925" s="81"/>
      <c r="G925" s="81"/>
      <c r="H925" s="81"/>
      <c r="I925" s="2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</row>
    <row r="926" ht="17.25" customHeight="1">
      <c r="A926" s="24"/>
      <c r="B926" s="24"/>
      <c r="C926" s="24"/>
      <c r="D926" s="81"/>
      <c r="E926" s="81"/>
      <c r="F926" s="81"/>
      <c r="G926" s="81"/>
      <c r="H926" s="81"/>
      <c r="I926" s="2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</row>
    <row r="927" ht="17.25" customHeight="1">
      <c r="A927" s="24"/>
      <c r="B927" s="24"/>
      <c r="C927" s="24"/>
      <c r="D927" s="81"/>
      <c r="E927" s="81"/>
      <c r="F927" s="81"/>
      <c r="G927" s="81"/>
      <c r="H927" s="81"/>
      <c r="I927" s="2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</row>
    <row r="928" ht="17.25" customHeight="1">
      <c r="A928" s="24"/>
      <c r="B928" s="24"/>
      <c r="C928" s="24"/>
      <c r="D928" s="81"/>
      <c r="E928" s="81"/>
      <c r="F928" s="81"/>
      <c r="G928" s="81"/>
      <c r="H928" s="81"/>
      <c r="I928" s="2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</row>
    <row r="929" ht="17.25" customHeight="1">
      <c r="A929" s="24"/>
      <c r="B929" s="24"/>
      <c r="C929" s="24"/>
      <c r="D929" s="81"/>
      <c r="E929" s="81"/>
      <c r="F929" s="81"/>
      <c r="G929" s="81"/>
      <c r="H929" s="81"/>
      <c r="I929" s="2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</row>
    <row r="930" ht="17.25" customHeight="1">
      <c r="A930" s="24"/>
      <c r="B930" s="24"/>
      <c r="C930" s="24"/>
      <c r="D930" s="81"/>
      <c r="E930" s="81"/>
      <c r="F930" s="81"/>
      <c r="G930" s="81"/>
      <c r="H930" s="81"/>
      <c r="I930" s="2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</row>
    <row r="931" ht="17.25" customHeight="1">
      <c r="A931" s="24"/>
      <c r="B931" s="24"/>
      <c r="C931" s="24"/>
      <c r="D931" s="81"/>
      <c r="E931" s="81"/>
      <c r="F931" s="81"/>
      <c r="G931" s="81"/>
      <c r="H931" s="81"/>
      <c r="I931" s="2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</row>
    <row r="932" ht="17.25" customHeight="1">
      <c r="A932" s="24"/>
      <c r="B932" s="24"/>
      <c r="C932" s="24"/>
      <c r="D932" s="81"/>
      <c r="E932" s="81"/>
      <c r="F932" s="81"/>
      <c r="G932" s="81"/>
      <c r="H932" s="81"/>
      <c r="I932" s="2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</row>
    <row r="933" ht="17.25" customHeight="1">
      <c r="A933" s="24"/>
      <c r="B933" s="24"/>
      <c r="C933" s="24"/>
      <c r="D933" s="81"/>
      <c r="E933" s="81"/>
      <c r="F933" s="81"/>
      <c r="G933" s="81"/>
      <c r="H933" s="81"/>
      <c r="I933" s="2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</row>
    <row r="934" ht="17.25" customHeight="1">
      <c r="A934" s="24"/>
      <c r="B934" s="24"/>
      <c r="C934" s="24"/>
      <c r="D934" s="81"/>
      <c r="E934" s="81"/>
      <c r="F934" s="81"/>
      <c r="G934" s="81"/>
      <c r="H934" s="81"/>
      <c r="I934" s="2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</row>
    <row r="935" ht="17.25" customHeight="1">
      <c r="A935" s="24"/>
      <c r="B935" s="24"/>
      <c r="C935" s="24"/>
      <c r="D935" s="81"/>
      <c r="E935" s="81"/>
      <c r="F935" s="81"/>
      <c r="G935" s="81"/>
      <c r="H935" s="81"/>
      <c r="I935" s="2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</row>
    <row r="936" ht="17.25" customHeight="1">
      <c r="A936" s="24"/>
      <c r="B936" s="24"/>
      <c r="C936" s="24"/>
      <c r="D936" s="81"/>
      <c r="E936" s="81"/>
      <c r="F936" s="81"/>
      <c r="G936" s="81"/>
      <c r="H936" s="81"/>
      <c r="I936" s="2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</row>
    <row r="937" ht="17.25" customHeight="1">
      <c r="A937" s="24"/>
      <c r="B937" s="24"/>
      <c r="C937" s="24"/>
      <c r="D937" s="81"/>
      <c r="E937" s="81"/>
      <c r="F937" s="81"/>
      <c r="G937" s="81"/>
      <c r="H937" s="81"/>
      <c r="I937" s="2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</row>
    <row r="938" ht="17.25" customHeight="1">
      <c r="A938" s="24"/>
      <c r="B938" s="24"/>
      <c r="C938" s="24"/>
      <c r="D938" s="81"/>
      <c r="E938" s="81"/>
      <c r="F938" s="81"/>
      <c r="G938" s="81"/>
      <c r="H938" s="81"/>
      <c r="I938" s="2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</row>
    <row r="939" ht="17.25" customHeight="1">
      <c r="A939" s="24"/>
      <c r="B939" s="24"/>
      <c r="C939" s="24"/>
      <c r="D939" s="81"/>
      <c r="E939" s="81"/>
      <c r="F939" s="81"/>
      <c r="G939" s="81"/>
      <c r="H939" s="81"/>
      <c r="I939" s="2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</row>
    <row r="940" ht="17.25" customHeight="1">
      <c r="A940" s="24"/>
      <c r="B940" s="24"/>
      <c r="C940" s="24"/>
      <c r="D940" s="81"/>
      <c r="E940" s="81"/>
      <c r="F940" s="81"/>
      <c r="G940" s="81"/>
      <c r="H940" s="81"/>
      <c r="I940" s="2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</row>
    <row r="941" ht="17.25" customHeight="1">
      <c r="A941" s="24"/>
      <c r="B941" s="24"/>
      <c r="C941" s="24"/>
      <c r="D941" s="81"/>
      <c r="E941" s="81"/>
      <c r="F941" s="81"/>
      <c r="G941" s="81"/>
      <c r="H941" s="81"/>
      <c r="I941" s="2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</row>
    <row r="942" ht="17.25" customHeight="1">
      <c r="A942" s="24"/>
      <c r="B942" s="24"/>
      <c r="C942" s="24"/>
      <c r="D942" s="81"/>
      <c r="E942" s="81"/>
      <c r="F942" s="81"/>
      <c r="G942" s="81"/>
      <c r="H942" s="81"/>
      <c r="I942" s="2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</row>
    <row r="943" ht="17.25" customHeight="1">
      <c r="A943" s="24"/>
      <c r="B943" s="24"/>
      <c r="C943" s="24"/>
      <c r="D943" s="81"/>
      <c r="E943" s="81"/>
      <c r="F943" s="81"/>
      <c r="G943" s="81"/>
      <c r="H943" s="81"/>
      <c r="I943" s="2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</row>
    <row r="944" ht="17.25" customHeight="1">
      <c r="A944" s="24"/>
      <c r="B944" s="24"/>
      <c r="C944" s="24"/>
      <c r="D944" s="81"/>
      <c r="E944" s="81"/>
      <c r="F944" s="81"/>
      <c r="G944" s="81"/>
      <c r="H944" s="81"/>
      <c r="I944" s="2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</row>
    <row r="945" ht="17.25" customHeight="1">
      <c r="A945" s="24"/>
      <c r="B945" s="24"/>
      <c r="C945" s="24"/>
      <c r="D945" s="81"/>
      <c r="E945" s="81"/>
      <c r="F945" s="81"/>
      <c r="G945" s="81"/>
      <c r="H945" s="81"/>
      <c r="I945" s="2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  <c r="AB945" s="234"/>
    </row>
    <row r="946" ht="17.25" customHeight="1">
      <c r="A946" s="24"/>
      <c r="B946" s="24"/>
      <c r="C946" s="24"/>
      <c r="D946" s="81"/>
      <c r="E946" s="81"/>
      <c r="F946" s="81"/>
      <c r="G946" s="81"/>
      <c r="H946" s="81"/>
      <c r="I946" s="2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  <c r="AB946" s="234"/>
    </row>
    <row r="947" ht="17.25" customHeight="1">
      <c r="A947" s="24"/>
      <c r="B947" s="24"/>
      <c r="C947" s="24"/>
      <c r="D947" s="81"/>
      <c r="E947" s="81"/>
      <c r="F947" s="81"/>
      <c r="G947" s="81"/>
      <c r="H947" s="81"/>
      <c r="I947" s="2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  <c r="AA947" s="234"/>
      <c r="AB947" s="234"/>
    </row>
    <row r="948" ht="17.25" customHeight="1">
      <c r="A948" s="24"/>
      <c r="B948" s="24"/>
      <c r="C948" s="24"/>
      <c r="D948" s="81"/>
      <c r="E948" s="81"/>
      <c r="F948" s="81"/>
      <c r="G948" s="81"/>
      <c r="H948" s="81"/>
      <c r="I948" s="2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  <c r="AA948" s="234"/>
      <c r="AB948" s="234"/>
    </row>
    <row r="949" ht="17.25" customHeight="1">
      <c r="A949" s="24"/>
      <c r="B949" s="24"/>
      <c r="C949" s="24"/>
      <c r="D949" s="81"/>
      <c r="E949" s="81"/>
      <c r="F949" s="81"/>
      <c r="G949" s="81"/>
      <c r="H949" s="81"/>
      <c r="I949" s="2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  <c r="AA949" s="234"/>
      <c r="AB949" s="234"/>
    </row>
    <row r="950" ht="17.25" customHeight="1">
      <c r="A950" s="24"/>
      <c r="B950" s="24"/>
      <c r="C950" s="24"/>
      <c r="D950" s="81"/>
      <c r="E950" s="81"/>
      <c r="F950" s="81"/>
      <c r="G950" s="81"/>
      <c r="H950" s="81"/>
      <c r="I950" s="2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  <c r="AA950" s="234"/>
      <c r="AB950" s="234"/>
    </row>
    <row r="951" ht="17.25" customHeight="1">
      <c r="A951" s="24"/>
      <c r="B951" s="24"/>
      <c r="C951" s="24"/>
      <c r="D951" s="81"/>
      <c r="E951" s="81"/>
      <c r="F951" s="81"/>
      <c r="G951" s="81"/>
      <c r="H951" s="81"/>
      <c r="I951" s="2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  <c r="AA951" s="234"/>
      <c r="AB951" s="234"/>
    </row>
    <row r="952" ht="17.25" customHeight="1">
      <c r="A952" s="24"/>
      <c r="B952" s="24"/>
      <c r="C952" s="24"/>
      <c r="D952" s="81"/>
      <c r="E952" s="81"/>
      <c r="F952" s="81"/>
      <c r="G952" s="81"/>
      <c r="H952" s="81"/>
      <c r="I952" s="2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  <c r="AA952" s="234"/>
      <c r="AB952" s="234"/>
    </row>
    <row r="953" ht="17.25" customHeight="1">
      <c r="A953" s="24"/>
      <c r="B953" s="24"/>
      <c r="C953" s="24"/>
      <c r="D953" s="81"/>
      <c r="E953" s="81"/>
      <c r="F953" s="81"/>
      <c r="G953" s="81"/>
      <c r="H953" s="81"/>
      <c r="I953" s="2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  <c r="AA953" s="234"/>
      <c r="AB953" s="234"/>
    </row>
    <row r="954" ht="17.25" customHeight="1">
      <c r="A954" s="24"/>
      <c r="B954" s="24"/>
      <c r="C954" s="24"/>
      <c r="D954" s="81"/>
      <c r="E954" s="81"/>
      <c r="F954" s="81"/>
      <c r="G954" s="81"/>
      <c r="H954" s="81"/>
      <c r="I954" s="2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  <c r="AA954" s="234"/>
      <c r="AB954" s="234"/>
    </row>
    <row r="955" ht="17.25" customHeight="1">
      <c r="A955" s="24"/>
      <c r="B955" s="24"/>
      <c r="C955" s="24"/>
      <c r="D955" s="81"/>
      <c r="E955" s="81"/>
      <c r="F955" s="81"/>
      <c r="G955" s="81"/>
      <c r="H955" s="81"/>
      <c r="I955" s="2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  <c r="AA955" s="234"/>
      <c r="AB955" s="234"/>
    </row>
    <row r="956" ht="17.25" customHeight="1">
      <c r="A956" s="24"/>
      <c r="B956" s="24"/>
      <c r="C956" s="24"/>
      <c r="D956" s="81"/>
      <c r="E956" s="81"/>
      <c r="F956" s="81"/>
      <c r="G956" s="81"/>
      <c r="H956" s="81"/>
      <c r="I956" s="2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  <c r="AA956" s="234"/>
      <c r="AB956" s="234"/>
    </row>
    <row r="957" ht="17.25" customHeight="1">
      <c r="A957" s="24"/>
      <c r="B957" s="24"/>
      <c r="C957" s="24"/>
      <c r="D957" s="81"/>
      <c r="E957" s="81"/>
      <c r="F957" s="81"/>
      <c r="G957" s="81"/>
      <c r="H957" s="81"/>
      <c r="I957" s="2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  <c r="AA957" s="234"/>
      <c r="AB957" s="234"/>
    </row>
    <row r="958" ht="17.25" customHeight="1">
      <c r="A958" s="24"/>
      <c r="B958" s="24"/>
      <c r="C958" s="24"/>
      <c r="D958" s="81"/>
      <c r="E958" s="81"/>
      <c r="F958" s="81"/>
      <c r="G958" s="81"/>
      <c r="H958" s="81"/>
      <c r="I958" s="2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  <c r="AA958" s="234"/>
      <c r="AB958" s="234"/>
    </row>
    <row r="959" ht="17.25" customHeight="1">
      <c r="A959" s="24"/>
      <c r="B959" s="24"/>
      <c r="C959" s="24"/>
      <c r="D959" s="81"/>
      <c r="E959" s="81"/>
      <c r="F959" s="81"/>
      <c r="G959" s="81"/>
      <c r="H959" s="81"/>
      <c r="I959" s="2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  <c r="AA959" s="234"/>
      <c r="AB959" s="234"/>
    </row>
    <row r="960" ht="17.25" customHeight="1">
      <c r="A960" s="24"/>
      <c r="B960" s="24"/>
      <c r="C960" s="24"/>
      <c r="D960" s="81"/>
      <c r="E960" s="81"/>
      <c r="F960" s="81"/>
      <c r="G960" s="81"/>
      <c r="H960" s="81"/>
      <c r="I960" s="2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  <c r="AA960" s="234"/>
      <c r="AB960" s="234"/>
    </row>
    <row r="961" ht="17.25" customHeight="1">
      <c r="A961" s="24"/>
      <c r="B961" s="24"/>
      <c r="C961" s="24"/>
      <c r="D961" s="81"/>
      <c r="E961" s="81"/>
      <c r="F961" s="81"/>
      <c r="G961" s="81"/>
      <c r="H961" s="81"/>
      <c r="I961" s="2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  <c r="AA961" s="234"/>
      <c r="AB961" s="234"/>
    </row>
    <row r="962" ht="17.25" customHeight="1">
      <c r="A962" s="24"/>
      <c r="B962" s="24"/>
      <c r="C962" s="24"/>
      <c r="D962" s="81"/>
      <c r="E962" s="81"/>
      <c r="F962" s="81"/>
      <c r="G962" s="81"/>
      <c r="H962" s="81"/>
      <c r="I962" s="2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  <c r="AB962" s="234"/>
    </row>
    <row r="963" ht="17.25" customHeight="1">
      <c r="A963" s="24"/>
      <c r="B963" s="24"/>
      <c r="C963" s="24"/>
      <c r="D963" s="81"/>
      <c r="E963" s="81"/>
      <c r="F963" s="81"/>
      <c r="G963" s="81"/>
      <c r="H963" s="81"/>
      <c r="I963" s="2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  <c r="AB963" s="234"/>
    </row>
    <row r="964" ht="17.25" customHeight="1">
      <c r="A964" s="24"/>
      <c r="B964" s="24"/>
      <c r="C964" s="24"/>
      <c r="D964" s="81"/>
      <c r="E964" s="81"/>
      <c r="F964" s="81"/>
      <c r="G964" s="81"/>
      <c r="H964" s="81"/>
      <c r="I964" s="2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  <c r="AB964" s="234"/>
    </row>
    <row r="965" ht="17.25" customHeight="1">
      <c r="A965" s="24"/>
      <c r="B965" s="24"/>
      <c r="C965" s="24"/>
      <c r="D965" s="81"/>
      <c r="E965" s="81"/>
      <c r="F965" s="81"/>
      <c r="G965" s="81"/>
      <c r="H965" s="81"/>
      <c r="I965" s="2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  <c r="AB965" s="234"/>
    </row>
    <row r="966" ht="17.25" customHeight="1">
      <c r="A966" s="24"/>
      <c r="B966" s="24"/>
      <c r="C966" s="24"/>
      <c r="D966" s="81"/>
      <c r="E966" s="81"/>
      <c r="F966" s="81"/>
      <c r="G966" s="81"/>
      <c r="H966" s="81"/>
      <c r="I966" s="2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</row>
    <row r="967" ht="17.25" customHeight="1">
      <c r="A967" s="24"/>
      <c r="B967" s="24"/>
      <c r="C967" s="24"/>
      <c r="D967" s="81"/>
      <c r="E967" s="81"/>
      <c r="F967" s="81"/>
      <c r="G967" s="81"/>
      <c r="H967" s="81"/>
      <c r="I967" s="2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</row>
    <row r="968" ht="17.25" customHeight="1">
      <c r="A968" s="24"/>
      <c r="B968" s="24"/>
      <c r="C968" s="24"/>
      <c r="D968" s="81"/>
      <c r="E968" s="81"/>
      <c r="F968" s="81"/>
      <c r="G968" s="81"/>
      <c r="H968" s="81"/>
      <c r="I968" s="2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</row>
    <row r="969" ht="17.25" customHeight="1">
      <c r="A969" s="24"/>
      <c r="B969" s="24"/>
      <c r="C969" s="24"/>
      <c r="D969" s="81"/>
      <c r="E969" s="81"/>
      <c r="F969" s="81"/>
      <c r="G969" s="81"/>
      <c r="H969" s="81"/>
      <c r="I969" s="2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</row>
    <row r="970" ht="17.25" customHeight="1">
      <c r="A970" s="24"/>
      <c r="B970" s="24"/>
      <c r="C970" s="24"/>
      <c r="D970" s="81"/>
      <c r="E970" s="81"/>
      <c r="F970" s="81"/>
      <c r="G970" s="81"/>
      <c r="H970" s="81"/>
      <c r="I970" s="2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  <c r="AB970" s="234"/>
    </row>
    <row r="971" ht="17.25" customHeight="1">
      <c r="A971" s="24"/>
      <c r="B971" s="24"/>
      <c r="C971" s="24"/>
      <c r="D971" s="81"/>
      <c r="E971" s="81"/>
      <c r="F971" s="81"/>
      <c r="G971" s="81"/>
      <c r="H971" s="81"/>
      <c r="I971" s="2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  <c r="AB971" s="234"/>
    </row>
    <row r="972" ht="17.25" customHeight="1">
      <c r="A972" s="24"/>
      <c r="B972" s="24"/>
      <c r="C972" s="24"/>
      <c r="D972" s="81"/>
      <c r="E972" s="81"/>
      <c r="F972" s="81"/>
      <c r="G972" s="81"/>
      <c r="H972" s="81"/>
      <c r="I972" s="2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  <c r="AA972" s="234"/>
      <c r="AB972" s="234"/>
    </row>
    <row r="973" ht="17.25" customHeight="1">
      <c r="A973" s="24"/>
      <c r="B973" s="24"/>
      <c r="C973" s="24"/>
      <c r="D973" s="81"/>
      <c r="E973" s="81"/>
      <c r="F973" s="81"/>
      <c r="G973" s="81"/>
      <c r="H973" s="81"/>
      <c r="I973" s="2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  <c r="AA973" s="234"/>
      <c r="AB973" s="234"/>
    </row>
    <row r="974" ht="17.25" customHeight="1">
      <c r="A974" s="24"/>
      <c r="B974" s="24"/>
      <c r="C974" s="24"/>
      <c r="D974" s="81"/>
      <c r="E974" s="81"/>
      <c r="F974" s="81"/>
      <c r="G974" s="81"/>
      <c r="H974" s="81"/>
      <c r="I974" s="2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  <c r="AA974" s="234"/>
      <c r="AB974" s="234"/>
    </row>
    <row r="975" ht="17.25" customHeight="1">
      <c r="A975" s="24"/>
      <c r="B975" s="24"/>
      <c r="C975" s="24"/>
      <c r="D975" s="81"/>
      <c r="E975" s="81"/>
      <c r="F975" s="81"/>
      <c r="G975" s="81"/>
      <c r="H975" s="81"/>
      <c r="I975" s="2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  <c r="AA975" s="234"/>
      <c r="AB975" s="234"/>
    </row>
    <row r="976" ht="17.25" customHeight="1">
      <c r="A976" s="24"/>
      <c r="B976" s="24"/>
      <c r="C976" s="24"/>
      <c r="D976" s="81"/>
      <c r="E976" s="81"/>
      <c r="F976" s="81"/>
      <c r="G976" s="81"/>
      <c r="H976" s="81"/>
      <c r="I976" s="2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  <c r="AA976" s="234"/>
      <c r="AB976" s="234"/>
    </row>
    <row r="977" ht="17.25" customHeight="1">
      <c r="A977" s="24"/>
      <c r="B977" s="24"/>
      <c r="C977" s="24"/>
      <c r="D977" s="81"/>
      <c r="E977" s="81"/>
      <c r="F977" s="81"/>
      <c r="G977" s="81"/>
      <c r="H977" s="81"/>
      <c r="I977" s="2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  <c r="AA977" s="234"/>
      <c r="AB977" s="234"/>
    </row>
    <row r="978" ht="17.25" customHeight="1">
      <c r="A978" s="24"/>
      <c r="B978" s="24"/>
      <c r="C978" s="24"/>
      <c r="D978" s="81"/>
      <c r="E978" s="81"/>
      <c r="F978" s="81"/>
      <c r="G978" s="81"/>
      <c r="H978" s="81"/>
      <c r="I978" s="2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  <c r="AA978" s="234"/>
      <c r="AB978" s="234"/>
    </row>
    <row r="979" ht="17.25" customHeight="1">
      <c r="A979" s="24"/>
      <c r="B979" s="24"/>
      <c r="C979" s="24"/>
      <c r="D979" s="81"/>
      <c r="E979" s="81"/>
      <c r="F979" s="81"/>
      <c r="G979" s="81"/>
      <c r="H979" s="81"/>
      <c r="I979" s="2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  <c r="AA979" s="234"/>
      <c r="AB979" s="234"/>
    </row>
    <row r="980" ht="17.25" customHeight="1">
      <c r="A980" s="24"/>
      <c r="B980" s="24"/>
      <c r="C980" s="24"/>
      <c r="D980" s="81"/>
      <c r="E980" s="81"/>
      <c r="F980" s="81"/>
      <c r="G980" s="81"/>
      <c r="H980" s="81"/>
      <c r="I980" s="2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  <c r="AB980" s="234"/>
    </row>
    <row r="981" ht="17.25" customHeight="1">
      <c r="A981" s="24"/>
      <c r="B981" s="24"/>
      <c r="C981" s="24"/>
      <c r="D981" s="81"/>
      <c r="E981" s="81"/>
      <c r="F981" s="81"/>
      <c r="G981" s="81"/>
      <c r="H981" s="81"/>
      <c r="I981" s="2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  <c r="AA981" s="234"/>
      <c r="AB981" s="234"/>
    </row>
    <row r="982" ht="17.25" customHeight="1">
      <c r="A982" s="24"/>
      <c r="B982" s="24"/>
      <c r="C982" s="24"/>
      <c r="D982" s="81"/>
      <c r="E982" s="81"/>
      <c r="F982" s="81"/>
      <c r="G982" s="81"/>
      <c r="H982" s="81"/>
      <c r="I982" s="2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  <c r="AA982" s="234"/>
      <c r="AB982" s="234"/>
    </row>
    <row r="983" ht="17.25" customHeight="1">
      <c r="A983" s="24"/>
      <c r="B983" s="24"/>
      <c r="C983" s="24"/>
      <c r="D983" s="81"/>
      <c r="E983" s="81"/>
      <c r="F983" s="81"/>
      <c r="G983" s="81"/>
      <c r="H983" s="81"/>
      <c r="I983" s="2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  <c r="AA983" s="234"/>
      <c r="AB983" s="234"/>
    </row>
    <row r="984" ht="17.25" customHeight="1">
      <c r="A984" s="24"/>
      <c r="B984" s="24"/>
      <c r="C984" s="24"/>
      <c r="D984" s="81"/>
      <c r="E984" s="81"/>
      <c r="F984" s="81"/>
      <c r="G984" s="81"/>
      <c r="H984" s="81"/>
      <c r="I984" s="2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  <c r="AA984" s="234"/>
      <c r="AB984" s="234"/>
    </row>
    <row r="985" ht="17.25" customHeight="1">
      <c r="A985" s="24"/>
      <c r="B985" s="24"/>
      <c r="C985" s="24"/>
      <c r="D985" s="81"/>
      <c r="E985" s="81"/>
      <c r="F985" s="81"/>
      <c r="G985" s="81"/>
      <c r="H985" s="81"/>
      <c r="I985" s="2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  <c r="AA985" s="234"/>
      <c r="AB985" s="234"/>
    </row>
    <row r="986" ht="17.25" customHeight="1">
      <c r="A986" s="24"/>
      <c r="B986" s="24"/>
      <c r="C986" s="24"/>
      <c r="D986" s="81"/>
      <c r="E986" s="81"/>
      <c r="F986" s="81"/>
      <c r="G986" s="81"/>
      <c r="H986" s="81"/>
      <c r="I986" s="2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  <c r="AA986" s="234"/>
      <c r="AB986" s="234"/>
    </row>
    <row r="987" ht="17.25" customHeight="1">
      <c r="A987" s="24"/>
      <c r="B987" s="24"/>
      <c r="C987" s="24"/>
      <c r="D987" s="81"/>
      <c r="E987" s="81"/>
      <c r="F987" s="81"/>
      <c r="G987" s="81"/>
      <c r="H987" s="81"/>
      <c r="I987" s="2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  <c r="AA987" s="234"/>
      <c r="AB987" s="234"/>
    </row>
    <row r="988" ht="17.25" customHeight="1">
      <c r="A988" s="24"/>
      <c r="B988" s="24"/>
      <c r="C988" s="24"/>
      <c r="D988" s="81"/>
      <c r="E988" s="81"/>
      <c r="F988" s="81"/>
      <c r="G988" s="81"/>
      <c r="H988" s="81"/>
      <c r="I988" s="2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  <c r="AA988" s="234"/>
      <c r="AB988" s="234"/>
    </row>
    <row r="989" ht="17.25" customHeight="1">
      <c r="A989" s="24"/>
      <c r="B989" s="24"/>
      <c r="C989" s="24"/>
      <c r="D989" s="81"/>
      <c r="E989" s="81"/>
      <c r="F989" s="81"/>
      <c r="G989" s="81"/>
      <c r="H989" s="81"/>
      <c r="I989" s="2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  <c r="AA989" s="234"/>
      <c r="AB989" s="234"/>
    </row>
    <row r="990" ht="17.25" customHeight="1">
      <c r="A990" s="24"/>
      <c r="B990" s="24"/>
      <c r="C990" s="24"/>
      <c r="D990" s="81"/>
      <c r="E990" s="81"/>
      <c r="F990" s="81"/>
      <c r="G990" s="81"/>
      <c r="H990" s="81"/>
      <c r="I990" s="2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  <c r="AA990" s="234"/>
      <c r="AB990" s="234"/>
    </row>
    <row r="991" ht="17.25" customHeight="1">
      <c r="A991" s="24"/>
      <c r="B991" s="24"/>
      <c r="C991" s="24"/>
      <c r="D991" s="81"/>
      <c r="E991" s="81"/>
      <c r="F991" s="81"/>
      <c r="G991" s="81"/>
      <c r="H991" s="81"/>
      <c r="I991" s="2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  <c r="AA991" s="234"/>
      <c r="AB991" s="234"/>
    </row>
    <row r="992" ht="17.25" customHeight="1">
      <c r="A992" s="24"/>
      <c r="B992" s="24"/>
      <c r="C992" s="24"/>
      <c r="D992" s="81"/>
      <c r="E992" s="81"/>
      <c r="F992" s="81"/>
      <c r="G992" s="81"/>
      <c r="H992" s="81"/>
      <c r="I992" s="2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  <c r="AA992" s="234"/>
      <c r="AB992" s="234"/>
    </row>
    <row r="993" ht="17.25" customHeight="1">
      <c r="A993" s="24"/>
      <c r="B993" s="24"/>
      <c r="C993" s="24"/>
      <c r="D993" s="81"/>
      <c r="E993" s="81"/>
      <c r="F993" s="81"/>
      <c r="G993" s="81"/>
      <c r="H993" s="81"/>
      <c r="I993" s="2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  <c r="AA993" s="234"/>
      <c r="AB993" s="234"/>
    </row>
    <row r="994" ht="17.25" customHeight="1">
      <c r="A994" s="24"/>
      <c r="B994" s="24"/>
      <c r="C994" s="24"/>
      <c r="D994" s="81"/>
      <c r="E994" s="81"/>
      <c r="F994" s="81"/>
      <c r="G994" s="81"/>
      <c r="H994" s="81"/>
      <c r="I994" s="2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  <c r="AA994" s="234"/>
      <c r="AB994" s="234"/>
    </row>
    <row r="995" ht="17.25" customHeight="1">
      <c r="A995" s="24"/>
      <c r="B995" s="24"/>
      <c r="C995" s="24"/>
      <c r="D995" s="81"/>
      <c r="E995" s="81"/>
      <c r="F995" s="81"/>
      <c r="G995" s="81"/>
      <c r="H995" s="81"/>
      <c r="I995" s="2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  <c r="AA995" s="234"/>
      <c r="AB995" s="234"/>
    </row>
    <row r="996" ht="17.25" customHeight="1">
      <c r="A996" s="24"/>
      <c r="B996" s="24"/>
      <c r="C996" s="24"/>
      <c r="D996" s="81"/>
      <c r="E996" s="81"/>
      <c r="F996" s="81"/>
      <c r="G996" s="81"/>
      <c r="H996" s="81"/>
      <c r="I996" s="2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  <c r="AA996" s="234"/>
      <c r="AB996" s="234"/>
    </row>
    <row r="997" ht="17.25" customHeight="1">
      <c r="A997" s="24"/>
      <c r="B997" s="24"/>
      <c r="C997" s="24"/>
      <c r="D997" s="81"/>
      <c r="E997" s="81"/>
      <c r="F997" s="81"/>
      <c r="G997" s="81"/>
      <c r="H997" s="81"/>
      <c r="I997" s="2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  <c r="AA997" s="234"/>
      <c r="AB997" s="234"/>
    </row>
    <row r="998" ht="17.25" customHeight="1">
      <c r="A998" s="24"/>
      <c r="B998" s="24"/>
      <c r="C998" s="24"/>
      <c r="D998" s="81"/>
      <c r="E998" s="81"/>
      <c r="F998" s="81"/>
      <c r="G998" s="81"/>
      <c r="H998" s="81"/>
      <c r="I998" s="2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  <c r="AA998" s="234"/>
      <c r="AB998" s="234"/>
    </row>
    <row r="999" ht="17.25" customHeight="1">
      <c r="A999" s="24"/>
      <c r="B999" s="24"/>
      <c r="C999" s="24"/>
      <c r="D999" s="81"/>
      <c r="E999" s="81"/>
      <c r="F999" s="81"/>
      <c r="G999" s="81"/>
      <c r="H999" s="81"/>
      <c r="I999" s="2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  <c r="AA999" s="234"/>
      <c r="AB999" s="234"/>
    </row>
    <row r="1000" ht="17.25" customHeight="1">
      <c r="A1000" s="24"/>
      <c r="B1000" s="24"/>
      <c r="C1000" s="24"/>
      <c r="D1000" s="81"/>
      <c r="E1000" s="81"/>
      <c r="F1000" s="81"/>
      <c r="G1000" s="81"/>
      <c r="H1000" s="81"/>
      <c r="I1000" s="2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  <c r="AA1000" s="234"/>
      <c r="AB1000" s="234"/>
    </row>
    <row r="1001" ht="17.25" customHeight="1">
      <c r="A1001" s="24"/>
      <c r="B1001" s="24"/>
      <c r="C1001" s="24"/>
      <c r="D1001" s="81"/>
      <c r="E1001" s="81"/>
      <c r="F1001" s="81"/>
      <c r="G1001" s="81"/>
      <c r="H1001" s="81"/>
      <c r="I1001" s="24"/>
      <c r="J1001" s="234"/>
      <c r="K1001" s="234"/>
      <c r="L1001" s="234"/>
      <c r="M1001" s="234"/>
      <c r="N1001" s="234"/>
      <c r="O1001" s="234"/>
      <c r="P1001" s="234"/>
      <c r="Q1001" s="234"/>
      <c r="R1001" s="234"/>
      <c r="S1001" s="234"/>
      <c r="T1001" s="234"/>
      <c r="U1001" s="234"/>
      <c r="V1001" s="234"/>
      <c r="W1001" s="234"/>
      <c r="X1001" s="234"/>
      <c r="Y1001" s="234"/>
      <c r="Z1001" s="234"/>
      <c r="AA1001" s="234"/>
      <c r="AB1001" s="234"/>
    </row>
    <row r="1002" ht="17.25" customHeight="1">
      <c r="A1002" s="24"/>
      <c r="B1002" s="24"/>
      <c r="C1002" s="24"/>
      <c r="D1002" s="81"/>
      <c r="E1002" s="81"/>
      <c r="F1002" s="81"/>
      <c r="G1002" s="81"/>
      <c r="H1002" s="81"/>
      <c r="I1002" s="24"/>
      <c r="J1002" s="234"/>
      <c r="K1002" s="234"/>
      <c r="L1002" s="234"/>
      <c r="M1002" s="234"/>
      <c r="N1002" s="234"/>
      <c r="O1002" s="234"/>
      <c r="P1002" s="234"/>
      <c r="Q1002" s="234"/>
      <c r="R1002" s="234"/>
      <c r="S1002" s="234"/>
      <c r="T1002" s="234"/>
      <c r="U1002" s="234"/>
      <c r="V1002" s="234"/>
      <c r="W1002" s="234"/>
      <c r="X1002" s="234"/>
      <c r="Y1002" s="234"/>
      <c r="Z1002" s="234"/>
      <c r="AA1002" s="234"/>
      <c r="AB1002" s="234"/>
    </row>
    <row r="1003" ht="17.25" customHeight="1">
      <c r="A1003" s="24"/>
      <c r="B1003" s="24"/>
      <c r="C1003" s="24"/>
      <c r="D1003" s="81"/>
      <c r="E1003" s="81"/>
      <c r="F1003" s="81"/>
      <c r="G1003" s="81"/>
      <c r="H1003" s="81"/>
      <c r="I1003" s="24"/>
      <c r="J1003" s="234"/>
      <c r="K1003" s="234"/>
      <c r="L1003" s="234"/>
      <c r="M1003" s="234"/>
      <c r="N1003" s="234"/>
      <c r="O1003" s="234"/>
      <c r="P1003" s="234"/>
      <c r="Q1003" s="234"/>
      <c r="R1003" s="234"/>
      <c r="S1003" s="234"/>
      <c r="T1003" s="234"/>
      <c r="U1003" s="234"/>
      <c r="V1003" s="234"/>
      <c r="W1003" s="234"/>
      <c r="X1003" s="234"/>
      <c r="Y1003" s="234"/>
      <c r="Z1003" s="234"/>
      <c r="AA1003" s="234"/>
      <c r="AB1003" s="234"/>
    </row>
    <row r="1004" ht="17.25" customHeight="1">
      <c r="A1004" s="24"/>
      <c r="B1004" s="24"/>
      <c r="C1004" s="24"/>
      <c r="D1004" s="81"/>
      <c r="E1004" s="81"/>
      <c r="F1004" s="81"/>
      <c r="G1004" s="81"/>
      <c r="H1004" s="81"/>
      <c r="I1004" s="24"/>
      <c r="J1004" s="234"/>
      <c r="K1004" s="234"/>
      <c r="L1004" s="234"/>
      <c r="M1004" s="234"/>
      <c r="N1004" s="234"/>
      <c r="O1004" s="234"/>
      <c r="P1004" s="234"/>
      <c r="Q1004" s="234"/>
      <c r="R1004" s="234"/>
      <c r="S1004" s="234"/>
      <c r="T1004" s="234"/>
      <c r="U1004" s="234"/>
      <c r="V1004" s="234"/>
      <c r="W1004" s="234"/>
      <c r="X1004" s="234"/>
      <c r="Y1004" s="234"/>
      <c r="Z1004" s="234"/>
      <c r="AA1004" s="234"/>
      <c r="AB1004" s="234"/>
    </row>
    <row r="1005" ht="17.25" customHeight="1">
      <c r="A1005" s="24"/>
      <c r="B1005" s="24"/>
      <c r="C1005" s="24"/>
      <c r="D1005" s="81"/>
      <c r="E1005" s="81"/>
      <c r="F1005" s="81"/>
      <c r="G1005" s="81"/>
      <c r="H1005" s="81"/>
      <c r="I1005" s="24"/>
      <c r="J1005" s="234"/>
      <c r="K1005" s="234"/>
      <c r="L1005" s="234"/>
      <c r="M1005" s="234"/>
      <c r="N1005" s="234"/>
      <c r="O1005" s="234"/>
      <c r="P1005" s="234"/>
      <c r="Q1005" s="234"/>
      <c r="R1005" s="234"/>
      <c r="S1005" s="234"/>
      <c r="T1005" s="234"/>
      <c r="U1005" s="234"/>
      <c r="V1005" s="234"/>
      <c r="W1005" s="234"/>
      <c r="X1005" s="234"/>
      <c r="Y1005" s="234"/>
      <c r="Z1005" s="234"/>
      <c r="AA1005" s="234"/>
      <c r="AB1005" s="234"/>
    </row>
    <row r="1006" ht="17.25" customHeight="1">
      <c r="A1006" s="24"/>
      <c r="B1006" s="24"/>
      <c r="C1006" s="24"/>
      <c r="D1006" s="81"/>
      <c r="E1006" s="81"/>
      <c r="F1006" s="81"/>
      <c r="G1006" s="81"/>
      <c r="H1006" s="81"/>
      <c r="I1006" s="24"/>
      <c r="J1006" s="234"/>
      <c r="K1006" s="234"/>
      <c r="L1006" s="234"/>
      <c r="M1006" s="234"/>
      <c r="N1006" s="234"/>
      <c r="O1006" s="234"/>
      <c r="P1006" s="234"/>
      <c r="Q1006" s="234"/>
      <c r="R1006" s="234"/>
      <c r="S1006" s="234"/>
      <c r="T1006" s="234"/>
      <c r="U1006" s="234"/>
      <c r="V1006" s="234"/>
      <c r="W1006" s="234"/>
      <c r="X1006" s="234"/>
      <c r="Y1006" s="234"/>
      <c r="Z1006" s="234"/>
      <c r="AA1006" s="234"/>
      <c r="AB1006" s="234"/>
    </row>
    <row r="1007" ht="17.25" customHeight="1">
      <c r="A1007" s="24"/>
      <c r="B1007" s="24"/>
      <c r="C1007" s="24"/>
      <c r="D1007" s="81"/>
      <c r="E1007" s="81"/>
      <c r="F1007" s="81"/>
      <c r="G1007" s="81"/>
      <c r="H1007" s="81"/>
      <c r="I1007" s="24"/>
      <c r="J1007" s="234"/>
      <c r="K1007" s="234"/>
      <c r="L1007" s="234"/>
      <c r="M1007" s="234"/>
      <c r="N1007" s="234"/>
      <c r="O1007" s="234"/>
      <c r="P1007" s="234"/>
      <c r="Q1007" s="234"/>
      <c r="R1007" s="234"/>
      <c r="S1007" s="234"/>
      <c r="T1007" s="234"/>
      <c r="U1007" s="234"/>
      <c r="V1007" s="234"/>
      <c r="W1007" s="234"/>
      <c r="X1007" s="234"/>
      <c r="Y1007" s="234"/>
      <c r="Z1007" s="234"/>
      <c r="AA1007" s="234"/>
      <c r="AB1007" s="234"/>
    </row>
    <row r="1008" ht="17.25" customHeight="1">
      <c r="A1008" s="24"/>
      <c r="B1008" s="24"/>
      <c r="C1008" s="24"/>
      <c r="D1008" s="81"/>
      <c r="E1008" s="81"/>
      <c r="F1008" s="81"/>
      <c r="G1008" s="81"/>
      <c r="H1008" s="81"/>
      <c r="I1008" s="24"/>
      <c r="J1008" s="234"/>
      <c r="K1008" s="234"/>
      <c r="L1008" s="234"/>
      <c r="M1008" s="234"/>
      <c r="N1008" s="234"/>
      <c r="O1008" s="234"/>
      <c r="P1008" s="234"/>
      <c r="Q1008" s="234"/>
      <c r="R1008" s="234"/>
      <c r="S1008" s="234"/>
      <c r="T1008" s="234"/>
      <c r="U1008" s="234"/>
      <c r="V1008" s="234"/>
      <c r="W1008" s="234"/>
      <c r="X1008" s="234"/>
      <c r="Y1008" s="234"/>
      <c r="Z1008" s="234"/>
      <c r="AA1008" s="234"/>
      <c r="AB1008" s="234"/>
    </row>
    <row r="1009" ht="17.25" customHeight="1">
      <c r="A1009" s="24"/>
      <c r="B1009" s="24"/>
      <c r="C1009" s="24"/>
      <c r="D1009" s="81"/>
      <c r="E1009" s="81"/>
      <c r="F1009" s="81"/>
      <c r="G1009" s="81"/>
      <c r="H1009" s="81"/>
      <c r="I1009" s="24"/>
      <c r="J1009" s="234"/>
      <c r="K1009" s="234"/>
      <c r="L1009" s="234"/>
      <c r="M1009" s="234"/>
      <c r="N1009" s="234"/>
      <c r="O1009" s="234"/>
      <c r="P1009" s="234"/>
      <c r="Q1009" s="234"/>
      <c r="R1009" s="234"/>
      <c r="S1009" s="234"/>
      <c r="T1009" s="234"/>
      <c r="U1009" s="234"/>
      <c r="V1009" s="234"/>
      <c r="W1009" s="234"/>
      <c r="X1009" s="234"/>
      <c r="Y1009" s="234"/>
      <c r="Z1009" s="234"/>
      <c r="AA1009" s="234"/>
      <c r="AB1009" s="234"/>
    </row>
    <row r="1010" ht="17.25" customHeight="1">
      <c r="A1010" s="24"/>
      <c r="B1010" s="24"/>
      <c r="C1010" s="24"/>
      <c r="D1010" s="81"/>
      <c r="E1010" s="81"/>
      <c r="F1010" s="81"/>
      <c r="G1010" s="81"/>
      <c r="H1010" s="81"/>
      <c r="I1010" s="24"/>
      <c r="J1010" s="234"/>
      <c r="K1010" s="234"/>
      <c r="L1010" s="234"/>
      <c r="M1010" s="234"/>
      <c r="N1010" s="234"/>
      <c r="O1010" s="234"/>
      <c r="P1010" s="234"/>
      <c r="Q1010" s="234"/>
      <c r="R1010" s="234"/>
      <c r="S1010" s="234"/>
      <c r="T1010" s="234"/>
      <c r="U1010" s="234"/>
      <c r="V1010" s="234"/>
      <c r="W1010" s="234"/>
      <c r="X1010" s="234"/>
      <c r="Y1010" s="234"/>
      <c r="Z1010" s="234"/>
      <c r="AA1010" s="234"/>
      <c r="AB1010" s="234"/>
    </row>
    <row r="1011" ht="17.25" customHeight="1">
      <c r="A1011" s="24"/>
      <c r="B1011" s="24"/>
      <c r="C1011" s="24"/>
      <c r="D1011" s="81"/>
      <c r="E1011" s="81"/>
      <c r="F1011" s="81"/>
      <c r="G1011" s="81"/>
      <c r="H1011" s="81"/>
      <c r="I1011" s="24"/>
      <c r="J1011" s="234"/>
      <c r="K1011" s="234"/>
      <c r="L1011" s="234"/>
      <c r="M1011" s="234"/>
      <c r="N1011" s="234"/>
      <c r="O1011" s="234"/>
      <c r="P1011" s="234"/>
      <c r="Q1011" s="234"/>
      <c r="R1011" s="234"/>
      <c r="S1011" s="234"/>
      <c r="T1011" s="234"/>
      <c r="U1011" s="234"/>
      <c r="V1011" s="234"/>
      <c r="W1011" s="234"/>
      <c r="X1011" s="234"/>
      <c r="Y1011" s="234"/>
      <c r="Z1011" s="234"/>
      <c r="AA1011" s="234"/>
      <c r="AB1011" s="234"/>
    </row>
    <row r="1012" ht="17.25" customHeight="1">
      <c r="A1012" s="24"/>
      <c r="B1012" s="24"/>
      <c r="C1012" s="24"/>
      <c r="D1012" s="81"/>
      <c r="E1012" s="81"/>
      <c r="F1012" s="81"/>
      <c r="G1012" s="81"/>
      <c r="H1012" s="81"/>
      <c r="I1012" s="24"/>
      <c r="J1012" s="234"/>
      <c r="K1012" s="234"/>
      <c r="L1012" s="234"/>
      <c r="M1012" s="234"/>
      <c r="N1012" s="234"/>
      <c r="O1012" s="234"/>
      <c r="P1012" s="234"/>
      <c r="Q1012" s="234"/>
      <c r="R1012" s="234"/>
      <c r="S1012" s="234"/>
      <c r="T1012" s="234"/>
      <c r="U1012" s="234"/>
      <c r="V1012" s="234"/>
      <c r="W1012" s="234"/>
      <c r="X1012" s="234"/>
      <c r="Y1012" s="234"/>
      <c r="Z1012" s="234"/>
      <c r="AA1012" s="234"/>
      <c r="AB1012" s="234"/>
    </row>
    <row r="1013" ht="17.25" customHeight="1">
      <c r="A1013" s="24"/>
      <c r="B1013" s="24"/>
      <c r="C1013" s="24"/>
      <c r="D1013" s="81"/>
      <c r="E1013" s="81"/>
      <c r="F1013" s="81"/>
      <c r="G1013" s="81"/>
      <c r="H1013" s="81"/>
      <c r="I1013" s="24"/>
      <c r="J1013" s="234"/>
      <c r="K1013" s="234"/>
      <c r="L1013" s="234"/>
      <c r="M1013" s="234"/>
      <c r="N1013" s="234"/>
      <c r="O1013" s="234"/>
      <c r="P1013" s="234"/>
      <c r="Q1013" s="234"/>
      <c r="R1013" s="234"/>
      <c r="S1013" s="234"/>
      <c r="T1013" s="234"/>
      <c r="U1013" s="234"/>
      <c r="V1013" s="234"/>
      <c r="W1013" s="234"/>
      <c r="X1013" s="234"/>
      <c r="Y1013" s="234"/>
      <c r="Z1013" s="234"/>
      <c r="AA1013" s="234"/>
      <c r="AB1013" s="234"/>
    </row>
  </sheetData>
  <autoFilter ref="$A$3:$H$47">
    <sortState ref="A3:H47">
      <sortCondition descending="1" ref="D3:D47"/>
      <sortCondition ref="F3:F47"/>
    </sortState>
  </autoFilter>
  <conditionalFormatting sqref="B26">
    <cfRule type="notContainsBlanks" dxfId="4" priority="1">
      <formula>LEN(TRIM(B26))&gt;0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43"/>
    <col customWidth="1" min="3" max="3" width="21.14"/>
    <col customWidth="1" min="4" max="4" width="24.29"/>
    <col customWidth="1" min="5" max="5" width="55.57"/>
    <col customWidth="1" min="6" max="6" width="21.57"/>
  </cols>
  <sheetData>
    <row r="1">
      <c r="A1" s="133"/>
      <c r="B1" s="133"/>
      <c r="C1" s="133"/>
      <c r="D1" s="133"/>
      <c r="E1" s="133"/>
      <c r="F1" s="392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393" t="s">
        <v>783</v>
      </c>
      <c r="C2" s="394"/>
      <c r="D2" s="394"/>
      <c r="E2" s="394"/>
      <c r="F2" s="395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396" t="s">
        <v>816</v>
      </c>
      <c r="B3" s="397" t="s">
        <v>817</v>
      </c>
      <c r="C3" s="397" t="s">
        <v>818</v>
      </c>
      <c r="D3" s="397" t="s">
        <v>819</v>
      </c>
      <c r="E3" s="397" t="s">
        <v>3</v>
      </c>
      <c r="F3" s="397" t="s">
        <v>820</v>
      </c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332" t="s">
        <v>821</v>
      </c>
      <c r="B4" s="250" t="s">
        <v>822</v>
      </c>
      <c r="C4" s="250" t="s">
        <v>823</v>
      </c>
      <c r="D4" s="378" t="s">
        <v>824</v>
      </c>
      <c r="E4" s="378" t="s">
        <v>825</v>
      </c>
      <c r="F4" s="164">
        <v>45967.0</v>
      </c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332" t="s">
        <v>826</v>
      </c>
      <c r="B5" s="386" t="s">
        <v>827</v>
      </c>
      <c r="C5" s="386" t="s">
        <v>823</v>
      </c>
      <c r="D5" s="386" t="s">
        <v>828</v>
      </c>
      <c r="E5" s="386" t="s">
        <v>829</v>
      </c>
      <c r="F5" s="195">
        <v>45972.0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332" t="s">
        <v>823</v>
      </c>
      <c r="D6" s="332" t="s">
        <v>830</v>
      </c>
      <c r="E6" s="332" t="s">
        <v>831</v>
      </c>
      <c r="F6" s="331">
        <v>45979.0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392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392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392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3"/>
      <c r="B10" s="133"/>
      <c r="C10" s="133"/>
      <c r="D10" s="133"/>
      <c r="E10" s="133"/>
      <c r="F10" s="392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392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33"/>
      <c r="B12" s="133"/>
      <c r="C12" s="133"/>
      <c r="D12" s="133"/>
      <c r="E12" s="133"/>
      <c r="F12" s="392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33"/>
      <c r="B13" s="133"/>
      <c r="C13" s="133"/>
      <c r="D13" s="133"/>
      <c r="E13" s="133"/>
      <c r="F13" s="392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33"/>
      <c r="B14" s="133"/>
      <c r="C14" s="133"/>
      <c r="D14" s="133"/>
      <c r="E14" s="133"/>
      <c r="F14" s="392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3"/>
      <c r="B15" s="133"/>
      <c r="C15" s="133"/>
      <c r="D15" s="133"/>
      <c r="E15" s="133"/>
      <c r="F15" s="392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392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392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39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392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392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392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>
      <c r="A22" s="133"/>
      <c r="B22" s="133"/>
      <c r="C22" s="133"/>
      <c r="D22" s="133"/>
      <c r="E22" s="133"/>
      <c r="F22" s="392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>
      <c r="A23" s="133"/>
      <c r="B23" s="133"/>
      <c r="C23" s="133"/>
      <c r="D23" s="133"/>
      <c r="E23" s="133"/>
      <c r="F23" s="392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>
      <c r="A24" s="133"/>
      <c r="B24" s="133"/>
      <c r="C24" s="133"/>
      <c r="D24" s="133"/>
      <c r="E24" s="133"/>
      <c r="F24" s="392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>
      <c r="A25" s="133"/>
      <c r="B25" s="133"/>
      <c r="C25" s="133"/>
      <c r="D25" s="133"/>
      <c r="E25" s="133"/>
      <c r="F25" s="39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>
      <c r="A26" s="133"/>
      <c r="B26" s="133"/>
      <c r="C26" s="133"/>
      <c r="D26" s="133"/>
      <c r="E26" s="133"/>
      <c r="F26" s="392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>
      <c r="A27" s="133"/>
      <c r="B27" s="133"/>
      <c r="C27" s="133"/>
      <c r="D27" s="133"/>
      <c r="E27" s="133"/>
      <c r="F27" s="392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>
      <c r="A28" s="133"/>
      <c r="B28" s="133"/>
      <c r="C28" s="133"/>
      <c r="D28" s="133"/>
      <c r="E28" s="133"/>
      <c r="F28" s="392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>
      <c r="A29" s="133"/>
      <c r="B29" s="133"/>
      <c r="C29" s="133"/>
      <c r="D29" s="133"/>
      <c r="E29" s="133"/>
      <c r="F29" s="392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>
      <c r="A30" s="133"/>
      <c r="B30" s="133"/>
      <c r="C30" s="133"/>
      <c r="D30" s="133"/>
      <c r="E30" s="133"/>
      <c r="F30" s="392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>
      <c r="A31" s="133"/>
      <c r="B31" s="133"/>
      <c r="C31" s="133"/>
      <c r="D31" s="133"/>
      <c r="E31" s="133"/>
      <c r="F31" s="392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392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392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33"/>
      <c r="B34" s="133"/>
      <c r="C34" s="133"/>
      <c r="D34" s="133"/>
      <c r="E34" s="133"/>
      <c r="F34" s="392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>
      <c r="A35" s="133"/>
      <c r="B35" s="133"/>
      <c r="C35" s="133"/>
      <c r="D35" s="133"/>
      <c r="E35" s="133"/>
      <c r="F35" s="392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>
      <c r="A36" s="133"/>
      <c r="B36" s="133"/>
      <c r="C36" s="133"/>
      <c r="D36" s="133"/>
      <c r="E36" s="133"/>
      <c r="F36" s="392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>
      <c r="A37" s="133"/>
      <c r="B37" s="133"/>
      <c r="C37" s="133"/>
      <c r="D37" s="133"/>
      <c r="E37" s="133"/>
      <c r="F37" s="392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>
      <c r="A38" s="133"/>
      <c r="B38" s="133"/>
      <c r="C38" s="133"/>
      <c r="D38" s="133"/>
      <c r="E38" s="133"/>
      <c r="F38" s="392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>
      <c r="A39" s="133"/>
      <c r="B39" s="133"/>
      <c r="C39" s="133"/>
      <c r="D39" s="133"/>
      <c r="E39" s="133"/>
      <c r="F39" s="392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>
      <c r="A40" s="133"/>
      <c r="B40" s="133"/>
      <c r="C40" s="133"/>
      <c r="D40" s="133"/>
      <c r="E40" s="133"/>
      <c r="F40" s="392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>
      <c r="A41" s="133"/>
      <c r="B41" s="133"/>
      <c r="C41" s="133"/>
      <c r="D41" s="133"/>
      <c r="E41" s="133"/>
      <c r="F41" s="392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>
      <c r="A42" s="133"/>
      <c r="B42" s="133"/>
      <c r="C42" s="133"/>
      <c r="D42" s="133"/>
      <c r="E42" s="133"/>
      <c r="F42" s="392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>
      <c r="A43" s="133"/>
      <c r="B43" s="133"/>
      <c r="C43" s="133"/>
      <c r="D43" s="133"/>
      <c r="E43" s="133"/>
      <c r="F43" s="392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>
      <c r="A44" s="133"/>
      <c r="B44" s="133"/>
      <c r="C44" s="133"/>
      <c r="D44" s="133"/>
      <c r="E44" s="133"/>
      <c r="F44" s="392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>
      <c r="A45" s="133"/>
      <c r="B45" s="133"/>
      <c r="C45" s="133"/>
      <c r="D45" s="133"/>
      <c r="E45" s="133"/>
      <c r="F45" s="392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3"/>
      <c r="B46" s="133"/>
      <c r="C46" s="133"/>
      <c r="D46" s="133"/>
      <c r="E46" s="133"/>
      <c r="F46" s="392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>
      <c r="A47" s="133"/>
      <c r="B47" s="133"/>
      <c r="C47" s="133"/>
      <c r="D47" s="133"/>
      <c r="E47" s="133"/>
      <c r="F47" s="392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>
      <c r="A48" s="133"/>
      <c r="B48" s="133"/>
      <c r="C48" s="133"/>
      <c r="D48" s="133"/>
      <c r="E48" s="133"/>
      <c r="F48" s="392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133"/>
      <c r="B49" s="133"/>
      <c r="C49" s="133"/>
      <c r="D49" s="133"/>
      <c r="E49" s="133"/>
      <c r="F49" s="392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>
      <c r="A50" s="133"/>
      <c r="B50" s="133"/>
      <c r="C50" s="133"/>
      <c r="D50" s="133"/>
      <c r="E50" s="133"/>
      <c r="F50" s="392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>
      <c r="A51" s="133"/>
      <c r="B51" s="133"/>
      <c r="C51" s="133"/>
      <c r="D51" s="133"/>
      <c r="E51" s="133"/>
      <c r="F51" s="392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>
      <c r="A52" s="133"/>
      <c r="B52" s="133"/>
      <c r="C52" s="133"/>
      <c r="D52" s="133"/>
      <c r="E52" s="133"/>
      <c r="F52" s="392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>
      <c r="A53" s="133"/>
      <c r="B53" s="133"/>
      <c r="C53" s="133"/>
      <c r="D53" s="133"/>
      <c r="E53" s="133"/>
      <c r="F53" s="392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>
      <c r="A54" s="133"/>
      <c r="B54" s="133"/>
      <c r="C54" s="133"/>
      <c r="D54" s="133"/>
      <c r="E54" s="133"/>
      <c r="F54" s="392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>
      <c r="A55" s="133"/>
      <c r="B55" s="133"/>
      <c r="C55" s="133"/>
      <c r="D55" s="133"/>
      <c r="E55" s="133"/>
      <c r="F55" s="392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>
      <c r="A56" s="133"/>
      <c r="B56" s="133"/>
      <c r="C56" s="133"/>
      <c r="D56" s="133"/>
      <c r="E56" s="133"/>
      <c r="F56" s="392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392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392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392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392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392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392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392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392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392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392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392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392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392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392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392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392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392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392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392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392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392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392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392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392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392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392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392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392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392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392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392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392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392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392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392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392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392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392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392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392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392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392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392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392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392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392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392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392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392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392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392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392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392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392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392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392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392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392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392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392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392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392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392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392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392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392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392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392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392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392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392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392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392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392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392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392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392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392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392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392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392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392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392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392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392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392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392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392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392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392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392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392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392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392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392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392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392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392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392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392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392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392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392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392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392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392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392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392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392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392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392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392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392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392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392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392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392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392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392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392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392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392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392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392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392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392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392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392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392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392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392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392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392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392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392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392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392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392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392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392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392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392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392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392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392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392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392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392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392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392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392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392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392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392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392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392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392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392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392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392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392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392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392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392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392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392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392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392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392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392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392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392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392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392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392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392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392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392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392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392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392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392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392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392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392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392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392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392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392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392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392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392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392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392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392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392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392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392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392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392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392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392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392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392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392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392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392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392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392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392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392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392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392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392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392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392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392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392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392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392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392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392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392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392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392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392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392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392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392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392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392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392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392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392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392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392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392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392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392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392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392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392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392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392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392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392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392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392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392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392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392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392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392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392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392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392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392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392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392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392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392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392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392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392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392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392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392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392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392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392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392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392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392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392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392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392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392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392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392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392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392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392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392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392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392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392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392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392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392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392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392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392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392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392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392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392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392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392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392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392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392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392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392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392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392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392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392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392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392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392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392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392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392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392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392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392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392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392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392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392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392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392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392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392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392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392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392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392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392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392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392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392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392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392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392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392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392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392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392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392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392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392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392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392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392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392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392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392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392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392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392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392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392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392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392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392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392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392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392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392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392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392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392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392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392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392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392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392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392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392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392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392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392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392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392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392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392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392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392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392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392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392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392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392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392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392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392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392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392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392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392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392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392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392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392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392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392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392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392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392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392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392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392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392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392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392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392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392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392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392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392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392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392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392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392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392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392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392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392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392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392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392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392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392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392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392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392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392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392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392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392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392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392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392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392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392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392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392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392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392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392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392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392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392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392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392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392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392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392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392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392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392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392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392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392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392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392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392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392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392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392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392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392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392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392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392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392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392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392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392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392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392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392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392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392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392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392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392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392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392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392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392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392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392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392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392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392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392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392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392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392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392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392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392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392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392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392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392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392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392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392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392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392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392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392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392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392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392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392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392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392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392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392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392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392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392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392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392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392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392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392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392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392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392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392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392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392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392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392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392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392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392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392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392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392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392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392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392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392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392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392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392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392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392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392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392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392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392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392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392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392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392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392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392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392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392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392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392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392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392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392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392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392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392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392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392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392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392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392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392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392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392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392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392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392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392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392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392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392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392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392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392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392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392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392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392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392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392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392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392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392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392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392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392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392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392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392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392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392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392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392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392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392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392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392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392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392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392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392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392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392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392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392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392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392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392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392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392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392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392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392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392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392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392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392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392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392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392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392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392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392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392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392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392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392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392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392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392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392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392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392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392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392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392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392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392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392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392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392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392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392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392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392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392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392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392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392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392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392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392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392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392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392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392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392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392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392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392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392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392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392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392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392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392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392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392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392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392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392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392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392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392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392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392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392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392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392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392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392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392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392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392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392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392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392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392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392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392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392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392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392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392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392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392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392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392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392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392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392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392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392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392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392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392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392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392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392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392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392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392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392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392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392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392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392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392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392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392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392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392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392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392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392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392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392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392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392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392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392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392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392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392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392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392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392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392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392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392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392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392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392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392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392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392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392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392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392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392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392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392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392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392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392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392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392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392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392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392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392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392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392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392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392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392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392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392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392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392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392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392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392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392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392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392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392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392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392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392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392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392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392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392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392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392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392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392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392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392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392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392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392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392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392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392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392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392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392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392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392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392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392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392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392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392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392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392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392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392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392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392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392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392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392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392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392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392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392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392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392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392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392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392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392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392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392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392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392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392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392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392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392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392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392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392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392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392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392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392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392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392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392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392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392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392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392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392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392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392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392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392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392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392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392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392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392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392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392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392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392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392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392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392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392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392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392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392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392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392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392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392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392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392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392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392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392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392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392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392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392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392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392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392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392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392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392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392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392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392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392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392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392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392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392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392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392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392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392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392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392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392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392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392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392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392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392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392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392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392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392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392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392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392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392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392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392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392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392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392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392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392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392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392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392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392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392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392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392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392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392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392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392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392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392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392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autoFilter ref="$A$3:$F$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14"/>
    <col customWidth="1" min="3" max="3" width="28.86"/>
    <col customWidth="1" min="4" max="4" width="27.14"/>
    <col customWidth="1" min="5" max="5" width="22.43"/>
    <col customWidth="1" min="6" max="6" width="51.57"/>
  </cols>
  <sheetData>
    <row r="1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>
      <c r="A2" s="182"/>
      <c r="B2" s="65" t="s">
        <v>356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>
      <c r="A3" s="398" t="s">
        <v>3</v>
      </c>
      <c r="B3" s="399" t="s">
        <v>358</v>
      </c>
      <c r="C3" s="399" t="s">
        <v>359</v>
      </c>
      <c r="D3" s="399" t="s">
        <v>360</v>
      </c>
      <c r="E3" s="399" t="s">
        <v>362</v>
      </c>
      <c r="F3" s="399" t="s">
        <v>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>
      <c r="A4" s="182" t="s">
        <v>832</v>
      </c>
      <c r="B4" s="400" t="s">
        <v>363</v>
      </c>
      <c r="C4" s="401" t="s">
        <v>367</v>
      </c>
      <c r="D4" s="401" t="s">
        <v>369</v>
      </c>
      <c r="E4" s="223">
        <v>45622.0</v>
      </c>
      <c r="F4" s="401" t="s">
        <v>371</v>
      </c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>
      <c r="A5" s="182" t="s">
        <v>833</v>
      </c>
      <c r="B5" s="193" t="s">
        <v>400</v>
      </c>
      <c r="C5" s="193" t="s">
        <v>402</v>
      </c>
      <c r="D5" s="193"/>
      <c r="E5" s="258">
        <v>45971.0</v>
      </c>
      <c r="F5" s="193" t="s">
        <v>404</v>
      </c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>
      <c r="A6" s="182" t="s">
        <v>834</v>
      </c>
      <c r="B6" s="401" t="s">
        <v>373</v>
      </c>
      <c r="C6" s="401" t="s">
        <v>375</v>
      </c>
      <c r="D6" s="400" t="s">
        <v>377</v>
      </c>
      <c r="E6" s="223">
        <v>45791.0</v>
      </c>
      <c r="F6" s="401" t="s">
        <v>380</v>
      </c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>
      <c r="A7" s="182" t="s">
        <v>835</v>
      </c>
      <c r="B7" s="193" t="s">
        <v>387</v>
      </c>
      <c r="C7" s="193" t="s">
        <v>388</v>
      </c>
      <c r="D7" s="402" t="s">
        <v>389</v>
      </c>
      <c r="E7" s="194">
        <v>45853.0</v>
      </c>
      <c r="F7" s="402" t="s">
        <v>391</v>
      </c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>
      <c r="A8" s="182" t="s">
        <v>834</v>
      </c>
      <c r="B8" s="401" t="s">
        <v>381</v>
      </c>
      <c r="C8" s="401" t="s">
        <v>382</v>
      </c>
      <c r="D8" s="401"/>
      <c r="E8" s="238">
        <v>45804.0</v>
      </c>
      <c r="F8" s="401" t="s">
        <v>22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>
      <c r="A9" s="182" t="s">
        <v>834</v>
      </c>
      <c r="B9" s="402" t="s">
        <v>392</v>
      </c>
      <c r="C9" s="193" t="s">
        <v>394</v>
      </c>
      <c r="D9" s="193" t="s">
        <v>395</v>
      </c>
      <c r="E9" s="194">
        <v>45867.0</v>
      </c>
      <c r="F9" s="193" t="s">
        <v>398</v>
      </c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>
      <c r="A10" s="182" t="s">
        <v>832</v>
      </c>
      <c r="B10" s="401" t="s">
        <v>405</v>
      </c>
      <c r="C10" s="401" t="s">
        <v>406</v>
      </c>
      <c r="D10" s="401" t="s">
        <v>407</v>
      </c>
      <c r="E10" s="223">
        <v>45960.0</v>
      </c>
      <c r="F10" s="401" t="s">
        <v>409</v>
      </c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>
      <c r="A11" s="222" t="s">
        <v>544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</row>
    <row r="246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</row>
    <row r="247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</row>
    <row r="248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</row>
    <row r="249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</row>
    <row r="250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</row>
    <row r="25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</row>
    <row r="25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</row>
    <row r="253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</row>
    <row r="254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</row>
    <row r="255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</row>
    <row r="256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</row>
    <row r="257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</row>
    <row r="258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</row>
    <row r="259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</row>
    <row r="260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</row>
    <row r="26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</row>
    <row r="26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</row>
    <row r="263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</row>
    <row r="264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</row>
    <row r="265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</row>
    <row r="266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</row>
    <row r="267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</row>
    <row r="268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</row>
    <row r="269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</row>
    <row r="270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</row>
    <row r="27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</row>
    <row r="27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</row>
    <row r="273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</row>
    <row r="274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</row>
    <row r="275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</row>
    <row r="276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</row>
    <row r="277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</row>
    <row r="278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</row>
    <row r="279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</row>
    <row r="280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</row>
    <row r="28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</row>
    <row r="28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</row>
    <row r="283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</row>
    <row r="284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</row>
    <row r="285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</row>
    <row r="286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</row>
    <row r="287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</row>
    <row r="288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</row>
    <row r="289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</row>
    <row r="290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</row>
    <row r="29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</row>
    <row r="29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</row>
    <row r="293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</row>
    <row r="294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</row>
    <row r="295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</row>
    <row r="296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</row>
    <row r="297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</row>
    <row r="298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</row>
    <row r="299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</row>
    <row r="300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</row>
    <row r="30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</row>
    <row r="30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</row>
    <row r="303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</row>
    <row r="304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</row>
    <row r="305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</row>
    <row r="306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</row>
    <row r="307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</row>
    <row r="308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</row>
    <row r="309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</row>
    <row r="310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</row>
    <row r="31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</row>
    <row r="31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</row>
    <row r="313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</row>
    <row r="314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</row>
    <row r="315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</row>
    <row r="316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</row>
    <row r="317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</row>
    <row r="318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</row>
    <row r="319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</row>
    <row r="320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</row>
    <row r="32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</row>
    <row r="32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</row>
    <row r="323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</row>
    <row r="324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</row>
    <row r="325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</row>
    <row r="326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</row>
    <row r="327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</row>
    <row r="328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</row>
    <row r="329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</row>
    <row r="330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</row>
    <row r="33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</row>
    <row r="33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</row>
    <row r="333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</row>
    <row r="334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</row>
    <row r="335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</row>
    <row r="336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</row>
    <row r="337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</row>
    <row r="338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</row>
    <row r="339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</row>
    <row r="340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</row>
    <row r="34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</row>
    <row r="34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</row>
    <row r="343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</row>
    <row r="344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</row>
    <row r="345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</row>
    <row r="346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</row>
    <row r="348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</row>
    <row r="349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</row>
    <row r="350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</row>
    <row r="35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</row>
    <row r="35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</row>
    <row r="353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</row>
    <row r="354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</row>
    <row r="35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</row>
    <row r="356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</row>
    <row r="357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</row>
    <row r="358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</row>
    <row r="359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</row>
    <row r="360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</row>
    <row r="36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</row>
    <row r="36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</row>
    <row r="363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</row>
    <row r="364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</row>
    <row r="36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</row>
    <row r="366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</row>
    <row r="367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</row>
    <row r="368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</row>
    <row r="369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</row>
    <row r="370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</row>
    <row r="37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</row>
    <row r="37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</row>
    <row r="373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</row>
    <row r="374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</row>
    <row r="37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</row>
    <row r="376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</row>
    <row r="377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</row>
    <row r="378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</row>
    <row r="379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</row>
    <row r="38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</row>
    <row r="38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</row>
    <row r="386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</row>
    <row r="387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</row>
    <row r="388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</row>
    <row r="389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</row>
    <row r="390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</row>
    <row r="39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</row>
    <row r="39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</row>
    <row r="393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</row>
    <row r="394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</row>
    <row r="39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</row>
    <row r="396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</row>
    <row r="399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</row>
    <row r="400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</row>
    <row r="40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</row>
    <row r="40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</row>
    <row r="403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</row>
    <row r="404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</row>
    <row r="40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</row>
    <row r="406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</row>
    <row r="407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</row>
    <row r="408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</row>
    <row r="409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</row>
    <row r="410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</row>
    <row r="41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</row>
    <row r="41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</row>
    <row r="413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</row>
    <row r="414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</row>
    <row r="41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</row>
    <row r="416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</row>
    <row r="417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</row>
    <row r="418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</row>
    <row r="419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</row>
    <row r="420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</row>
    <row r="42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</row>
    <row r="42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</row>
    <row r="423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</row>
    <row r="424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</row>
    <row r="42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</row>
    <row r="426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</row>
    <row r="427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</row>
    <row r="428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</row>
    <row r="429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</row>
    <row r="430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</row>
    <row r="43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</row>
    <row r="43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</row>
    <row r="433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</row>
    <row r="434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</row>
    <row r="43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</row>
    <row r="436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</row>
    <row r="437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</row>
    <row r="438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</row>
    <row r="439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</row>
    <row r="440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</row>
    <row r="44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</row>
    <row r="44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</row>
    <row r="443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</row>
    <row r="444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</row>
    <row r="44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</row>
    <row r="446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</row>
    <row r="447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</row>
    <row r="448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</row>
    <row r="449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</row>
    <row r="450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</row>
    <row r="45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</row>
    <row r="45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</row>
    <row r="453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</row>
    <row r="454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</row>
    <row r="45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</row>
    <row r="456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</row>
    <row r="457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</row>
    <row r="458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</row>
    <row r="459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</row>
    <row r="460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</row>
    <row r="46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</row>
    <row r="46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</row>
    <row r="463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</row>
    <row r="464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</row>
    <row r="46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</row>
    <row r="466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</row>
    <row r="467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</row>
    <row r="468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</row>
    <row r="469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</row>
    <row r="470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</row>
    <row r="47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</row>
    <row r="47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</row>
    <row r="473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</row>
    <row r="474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</row>
    <row r="47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</row>
    <row r="476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</row>
    <row r="477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</row>
    <row r="478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</row>
    <row r="479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</row>
    <row r="480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</row>
    <row r="48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</row>
    <row r="48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</row>
    <row r="483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</row>
    <row r="484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</row>
    <row r="48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</row>
    <row r="486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</row>
    <row r="487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</row>
    <row r="488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</row>
    <row r="489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</row>
    <row r="490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</row>
    <row r="49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</row>
    <row r="49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</row>
    <row r="493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</row>
    <row r="494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</row>
    <row r="49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</row>
    <row r="496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</row>
    <row r="497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</row>
    <row r="498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</row>
    <row r="499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</row>
    <row r="500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</row>
    <row r="50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</row>
    <row r="50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</row>
    <row r="503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</row>
    <row r="504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</row>
    <row r="50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</row>
    <row r="506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</row>
    <row r="507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</row>
    <row r="508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</row>
    <row r="509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</row>
    <row r="510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</row>
    <row r="51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</row>
    <row r="51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</row>
    <row r="513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</row>
    <row r="514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</row>
    <row r="51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</row>
    <row r="516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</row>
    <row r="517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</row>
    <row r="518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</row>
    <row r="519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</row>
    <row r="520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</row>
    <row r="52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</row>
    <row r="52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</row>
    <row r="523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</row>
    <row r="524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</row>
    <row r="52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</row>
    <row r="526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</row>
    <row r="527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</row>
    <row r="528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</row>
    <row r="529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</row>
    <row r="530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</row>
    <row r="53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</row>
    <row r="53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</row>
    <row r="533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</row>
    <row r="534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</row>
    <row r="53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</row>
    <row r="536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</row>
    <row r="537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</row>
    <row r="538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</row>
    <row r="539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</row>
    <row r="540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</row>
    <row r="54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</row>
    <row r="54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</row>
    <row r="543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</row>
    <row r="544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</row>
    <row r="54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</row>
    <row r="546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</row>
    <row r="547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</row>
    <row r="548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</row>
    <row r="549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</row>
    <row r="550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</row>
    <row r="55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</row>
    <row r="55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</row>
    <row r="553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</row>
    <row r="554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</row>
    <row r="55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</row>
    <row r="556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</row>
    <row r="557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</row>
    <row r="55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</row>
    <row r="559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</row>
    <row r="560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</row>
    <row r="56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</row>
    <row r="56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</row>
    <row r="563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</row>
    <row r="564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</row>
    <row r="566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</row>
    <row r="567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</row>
    <row r="56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</row>
    <row r="569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</row>
    <row r="570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</row>
    <row r="57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</row>
    <row r="57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</row>
    <row r="573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</row>
    <row r="574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</row>
    <row r="57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</row>
    <row r="576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</row>
    <row r="577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</row>
    <row r="57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</row>
    <row r="579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</row>
    <row r="580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</row>
    <row r="58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</row>
    <row r="58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</row>
    <row r="583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</row>
    <row r="584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</row>
    <row r="58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</row>
    <row r="586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</row>
    <row r="587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</row>
    <row r="58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</row>
    <row r="589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</row>
    <row r="590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</row>
    <row r="59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</row>
    <row r="59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</row>
    <row r="593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</row>
    <row r="594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</row>
    <row r="59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</row>
    <row r="596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</row>
    <row r="597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</row>
    <row r="59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</row>
    <row r="599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</row>
    <row r="600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</row>
    <row r="60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</row>
    <row r="60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</row>
    <row r="603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</row>
    <row r="604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</row>
    <row r="60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</row>
    <row r="606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</row>
    <row r="607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</row>
    <row r="60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</row>
    <row r="609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</row>
    <row r="610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</row>
    <row r="61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</row>
    <row r="61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</row>
    <row r="613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</row>
    <row r="614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</row>
    <row r="61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</row>
    <row r="616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</row>
    <row r="617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</row>
    <row r="61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</row>
    <row r="619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</row>
    <row r="620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</row>
    <row r="62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</row>
    <row r="62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</row>
    <row r="623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</row>
    <row r="624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</row>
    <row r="62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</row>
    <row r="626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</row>
    <row r="627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</row>
    <row r="6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</row>
    <row r="629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</row>
    <row r="630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</row>
    <row r="63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</row>
    <row r="63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</row>
    <row r="633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</row>
    <row r="634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</row>
    <row r="63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</row>
    <row r="636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</row>
    <row r="637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</row>
    <row r="63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</row>
    <row r="639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</row>
    <row r="640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</row>
    <row r="64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</row>
    <row r="64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</row>
    <row r="643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</row>
    <row r="644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</row>
    <row r="64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</row>
    <row r="646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</row>
    <row r="647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</row>
    <row r="64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</row>
    <row r="649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</row>
    <row r="650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</row>
    <row r="65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</row>
    <row r="65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</row>
    <row r="653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</row>
    <row r="654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</row>
    <row r="65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</row>
    <row r="656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</row>
    <row r="657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</row>
    <row r="65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</row>
    <row r="659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</row>
    <row r="660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</row>
    <row r="66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</row>
    <row r="66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</row>
    <row r="663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</row>
    <row r="664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</row>
    <row r="66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</row>
    <row r="666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</row>
    <row r="667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</row>
    <row r="66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</row>
    <row r="669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</row>
    <row r="670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</row>
    <row r="67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</row>
    <row r="67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</row>
    <row r="673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</row>
    <row r="674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</row>
    <row r="67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</row>
    <row r="676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</row>
    <row r="677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</row>
    <row r="67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</row>
    <row r="679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</row>
    <row r="680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</row>
    <row r="68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</row>
    <row r="68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</row>
    <row r="683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</row>
    <row r="684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</row>
    <row r="68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</row>
    <row r="686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</row>
    <row r="687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</row>
    <row r="68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</row>
    <row r="689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</row>
    <row r="690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</row>
    <row r="69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</row>
    <row r="69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</row>
    <row r="693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</row>
    <row r="694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</row>
    <row r="69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</row>
    <row r="696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</row>
    <row r="697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</row>
    <row r="69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</row>
    <row r="699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</row>
    <row r="700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</row>
    <row r="70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</row>
    <row r="70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</row>
    <row r="703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</row>
    <row r="704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</row>
    <row r="70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</row>
    <row r="706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</row>
    <row r="707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</row>
    <row r="70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</row>
    <row r="709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</row>
    <row r="710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</row>
    <row r="71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</row>
    <row r="71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</row>
    <row r="713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</row>
    <row r="714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</row>
    <row r="71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</row>
    <row r="716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</row>
    <row r="717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</row>
    <row r="71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</row>
    <row r="719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</row>
    <row r="720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</row>
    <row r="72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</row>
    <row r="72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</row>
    <row r="723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</row>
    <row r="724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</row>
    <row r="72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</row>
    <row r="726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</row>
    <row r="727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</row>
    <row r="7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</row>
    <row r="729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</row>
    <row r="730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</row>
    <row r="73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</row>
    <row r="73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</row>
    <row r="733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</row>
    <row r="734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</row>
    <row r="73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</row>
    <row r="736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</row>
    <row r="737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</row>
    <row r="73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</row>
    <row r="739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</row>
    <row r="740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</row>
    <row r="74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</row>
    <row r="74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</row>
    <row r="743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</row>
    <row r="744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</row>
    <row r="74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</row>
    <row r="746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</row>
    <row r="747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</row>
    <row r="74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</row>
    <row r="749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</row>
    <row r="750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</row>
    <row r="75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</row>
    <row r="75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</row>
    <row r="753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</row>
    <row r="754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</row>
    <row r="75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</row>
    <row r="756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</row>
    <row r="757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</row>
    <row r="75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</row>
    <row r="759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</row>
    <row r="760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</row>
    <row r="76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</row>
    <row r="76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</row>
    <row r="763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</row>
    <row r="764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</row>
    <row r="76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</row>
    <row r="766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</row>
    <row r="767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</row>
    <row r="76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</row>
    <row r="769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</row>
    <row r="770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</row>
    <row r="77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</row>
    <row r="77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</row>
    <row r="773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</row>
    <row r="774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</row>
    <row r="77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</row>
    <row r="776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</row>
    <row r="777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</row>
    <row r="77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</row>
    <row r="779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</row>
    <row r="780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</row>
    <row r="78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</row>
    <row r="78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</row>
    <row r="783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</row>
    <row r="784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</row>
    <row r="78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</row>
    <row r="786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</row>
    <row r="787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</row>
    <row r="78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</row>
    <row r="789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</row>
    <row r="790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</row>
    <row r="79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</row>
    <row r="79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</row>
    <row r="793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</row>
    <row r="794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</row>
    <row r="79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</row>
    <row r="796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</row>
    <row r="797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</row>
    <row r="79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</row>
    <row r="799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</row>
    <row r="800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</row>
    <row r="80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</row>
    <row r="80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</row>
    <row r="803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</row>
    <row r="804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</row>
    <row r="80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</row>
    <row r="806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</row>
    <row r="807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</row>
    <row r="80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</row>
    <row r="809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</row>
    <row r="810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</row>
    <row r="81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</row>
    <row r="81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</row>
    <row r="813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</row>
    <row r="814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</row>
    <row r="81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</row>
    <row r="816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</row>
    <row r="817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</row>
    <row r="81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</row>
    <row r="819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</row>
    <row r="820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</row>
    <row r="82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</row>
    <row r="82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</row>
    <row r="823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</row>
    <row r="824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</row>
    <row r="82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</row>
    <row r="826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</row>
    <row r="827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</row>
    <row r="8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</row>
    <row r="829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</row>
    <row r="830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</row>
    <row r="83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</row>
    <row r="83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</row>
    <row r="833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</row>
    <row r="834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</row>
    <row r="83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</row>
    <row r="836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</row>
    <row r="837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</row>
    <row r="83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</row>
    <row r="839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</row>
    <row r="840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</row>
    <row r="84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</row>
    <row r="84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</row>
    <row r="843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</row>
    <row r="844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</row>
    <row r="84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</row>
    <row r="846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</row>
    <row r="847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</row>
    <row r="84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</row>
    <row r="849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</row>
    <row r="850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</row>
    <row r="85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</row>
    <row r="85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</row>
    <row r="853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</row>
    <row r="854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</row>
    <row r="85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</row>
    <row r="856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</row>
    <row r="857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</row>
    <row r="85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</row>
    <row r="859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</row>
    <row r="860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</row>
    <row r="86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</row>
    <row r="86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</row>
    <row r="863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</row>
    <row r="864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</row>
    <row r="86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</row>
    <row r="866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</row>
    <row r="867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</row>
    <row r="86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</row>
    <row r="869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</row>
    <row r="870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</row>
    <row r="87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</row>
    <row r="87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</row>
    <row r="873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</row>
    <row r="874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</row>
    <row r="87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</row>
    <row r="876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</row>
    <row r="877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</row>
    <row r="87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</row>
    <row r="879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</row>
    <row r="880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</row>
    <row r="88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</row>
    <row r="88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</row>
    <row r="883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</row>
    <row r="884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</row>
    <row r="88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</row>
    <row r="886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</row>
    <row r="887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</row>
    <row r="88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</row>
    <row r="889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</row>
    <row r="890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</row>
    <row r="89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</row>
    <row r="89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</row>
    <row r="893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</row>
    <row r="894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</row>
    <row r="89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</row>
    <row r="896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</row>
    <row r="897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</row>
    <row r="89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</row>
    <row r="899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</row>
    <row r="900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</row>
    <row r="90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</row>
    <row r="90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</row>
    <row r="903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</row>
    <row r="904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</row>
    <row r="90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</row>
    <row r="906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</row>
    <row r="907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</row>
    <row r="90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</row>
    <row r="909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</row>
    <row r="910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</row>
    <row r="91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</row>
    <row r="91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</row>
    <row r="913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</row>
    <row r="914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</row>
    <row r="91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</row>
    <row r="916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</row>
    <row r="917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</row>
    <row r="91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</row>
    <row r="919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</row>
    <row r="920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</row>
    <row r="92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</row>
    <row r="92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</row>
    <row r="923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</row>
    <row r="924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</row>
    <row r="92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</row>
    <row r="926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</row>
    <row r="927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</row>
    <row r="9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</row>
    <row r="929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</row>
    <row r="930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</row>
    <row r="93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</row>
    <row r="93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</row>
    <row r="933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</row>
    <row r="934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</row>
    <row r="93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</row>
    <row r="936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</row>
    <row r="937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</row>
    <row r="93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</row>
    <row r="939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</row>
    <row r="940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</row>
    <row r="94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</row>
    <row r="94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</row>
    <row r="943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</row>
    <row r="944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</row>
    <row r="94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</row>
    <row r="946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</row>
    <row r="947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</row>
    <row r="94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</row>
    <row r="949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</row>
    <row r="950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</row>
    <row r="95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</row>
    <row r="95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</row>
    <row r="953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</row>
    <row r="954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</row>
    <row r="95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</row>
    <row r="956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</row>
    <row r="957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</row>
    <row r="95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</row>
    <row r="959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</row>
    <row r="960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</row>
    <row r="96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</row>
    <row r="96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</row>
    <row r="963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</row>
    <row r="964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</row>
    <row r="96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</row>
    <row r="966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</row>
    <row r="967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</row>
    <row r="96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</row>
    <row r="969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</row>
    <row r="970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</row>
    <row r="97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</row>
    <row r="97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</row>
    <row r="973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</row>
    <row r="974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</row>
    <row r="97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</row>
    <row r="976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</row>
    <row r="977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</row>
    <row r="97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</row>
    <row r="979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</row>
    <row r="980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</row>
    <row r="98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</row>
    <row r="98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</row>
    <row r="983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</row>
    <row r="984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</row>
    <row r="98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</row>
    <row r="986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</row>
    <row r="987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</row>
    <row r="98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</row>
    <row r="989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</row>
    <row r="990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</row>
    <row r="99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</row>
    <row r="99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</row>
    <row r="993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</row>
    <row r="994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</row>
    <row r="99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</row>
    <row r="996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</row>
    <row r="997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</row>
    <row r="998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</row>
    <row r="999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</row>
    <row r="1000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</row>
  </sheetData>
  <autoFilter ref="$A$3:$F$1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6.0"/>
    <col customWidth="1" min="3" max="3" width="20.57"/>
    <col customWidth="1" min="4" max="4" width="19.71"/>
    <col customWidth="1" min="5" max="5" width="23.14"/>
    <col customWidth="1" min="6" max="6" width="28.0"/>
    <col customWidth="1" min="7" max="7" width="19.29"/>
    <col customWidth="1" min="8" max="8" width="23.29"/>
  </cols>
  <sheetData>
    <row r="1" ht="22.5" customHeight="1">
      <c r="A1" s="403" t="s">
        <v>836</v>
      </c>
      <c r="B1" s="403" t="s">
        <v>837</v>
      </c>
      <c r="C1" s="403" t="s">
        <v>838</v>
      </c>
      <c r="D1" s="403" t="s">
        <v>839</v>
      </c>
      <c r="E1" s="403" t="s">
        <v>840</v>
      </c>
      <c r="F1" s="403" t="s">
        <v>841</v>
      </c>
      <c r="G1" s="403" t="s">
        <v>842</v>
      </c>
      <c r="H1" s="403" t="s">
        <v>12</v>
      </c>
    </row>
    <row r="2" ht="22.5" customHeight="1">
      <c r="A2" s="404" t="s">
        <v>843</v>
      </c>
      <c r="B2" s="405" t="s">
        <v>844</v>
      </c>
      <c r="C2" s="406">
        <v>2019.0</v>
      </c>
      <c r="D2" s="407">
        <v>45533.0</v>
      </c>
      <c r="E2" s="405">
        <f t="shared" ref="E2:E65" si="1">D2-TODAY()</f>
        <v>-704</v>
      </c>
      <c r="F2" s="406"/>
      <c r="G2" s="408" t="s">
        <v>845</v>
      </c>
      <c r="H2" s="406"/>
    </row>
    <row r="3" ht="22.5" customHeight="1">
      <c r="A3" s="404" t="s">
        <v>846</v>
      </c>
      <c r="B3" s="405" t="s">
        <v>847</v>
      </c>
      <c r="C3" s="408">
        <v>2021.0</v>
      </c>
      <c r="D3" s="407">
        <v>45733.0</v>
      </c>
      <c r="E3" s="405">
        <f t="shared" si="1"/>
        <v>-504</v>
      </c>
      <c r="F3" s="406"/>
      <c r="G3" s="408" t="s">
        <v>848</v>
      </c>
      <c r="H3" s="408" t="s">
        <v>849</v>
      </c>
    </row>
    <row r="4" ht="22.5" customHeight="1">
      <c r="A4" s="404" t="s">
        <v>846</v>
      </c>
      <c r="B4" s="405" t="s">
        <v>850</v>
      </c>
      <c r="C4" s="408">
        <v>2021.0</v>
      </c>
      <c r="D4" s="407">
        <v>45733.0</v>
      </c>
      <c r="E4" s="405">
        <f t="shared" si="1"/>
        <v>-504</v>
      </c>
      <c r="F4" s="406"/>
      <c r="G4" s="408" t="s">
        <v>848</v>
      </c>
      <c r="H4" s="408" t="s">
        <v>849</v>
      </c>
    </row>
    <row r="5" ht="22.5" customHeight="1">
      <c r="A5" s="404" t="s">
        <v>846</v>
      </c>
      <c r="B5" s="405" t="s">
        <v>851</v>
      </c>
      <c r="C5" s="408">
        <v>2021.0</v>
      </c>
      <c r="D5" s="407">
        <v>45733.0</v>
      </c>
      <c r="E5" s="405">
        <f t="shared" si="1"/>
        <v>-504</v>
      </c>
      <c r="F5" s="406"/>
      <c r="G5" s="408" t="s">
        <v>848</v>
      </c>
      <c r="H5" s="408" t="s">
        <v>849</v>
      </c>
    </row>
    <row r="6" ht="22.5" customHeight="1">
      <c r="A6" s="404" t="s">
        <v>843</v>
      </c>
      <c r="B6" s="405" t="s">
        <v>852</v>
      </c>
      <c r="C6" s="406">
        <v>2022.0</v>
      </c>
      <c r="D6" s="407">
        <v>45776.0</v>
      </c>
      <c r="E6" s="405">
        <f t="shared" si="1"/>
        <v>-461</v>
      </c>
      <c r="F6" s="406"/>
      <c r="G6" s="406"/>
      <c r="H6" s="408" t="s">
        <v>853</v>
      </c>
    </row>
    <row r="7" ht="22.5" customHeight="1">
      <c r="A7" s="404" t="s">
        <v>854</v>
      </c>
      <c r="B7" s="405" t="s">
        <v>855</v>
      </c>
      <c r="C7" s="406">
        <v>2000.0</v>
      </c>
      <c r="D7" s="407">
        <v>45822.0</v>
      </c>
      <c r="E7" s="405">
        <f t="shared" si="1"/>
        <v>-415</v>
      </c>
      <c r="F7" s="409">
        <v>45797.0</v>
      </c>
      <c r="G7" s="406"/>
      <c r="H7" s="408" t="s">
        <v>856</v>
      </c>
    </row>
    <row r="8" ht="22.5" customHeight="1">
      <c r="A8" s="404" t="s">
        <v>854</v>
      </c>
      <c r="B8" s="405" t="s">
        <v>857</v>
      </c>
      <c r="C8" s="406">
        <v>2000.0</v>
      </c>
      <c r="D8" s="407">
        <v>45822.0</v>
      </c>
      <c r="E8" s="405">
        <f t="shared" si="1"/>
        <v>-415</v>
      </c>
      <c r="F8" s="409">
        <v>45797.0</v>
      </c>
      <c r="G8" s="406"/>
      <c r="H8" s="408" t="s">
        <v>856</v>
      </c>
    </row>
    <row r="9" ht="22.5" customHeight="1">
      <c r="A9" s="404" t="s">
        <v>854</v>
      </c>
      <c r="B9" s="405" t="s">
        <v>858</v>
      </c>
      <c r="C9" s="406">
        <v>2000.0</v>
      </c>
      <c r="D9" s="407">
        <v>45822.0</v>
      </c>
      <c r="E9" s="405">
        <f t="shared" si="1"/>
        <v>-415</v>
      </c>
      <c r="F9" s="409">
        <v>45797.0</v>
      </c>
      <c r="G9" s="406"/>
      <c r="H9" s="408" t="s">
        <v>856</v>
      </c>
    </row>
    <row r="10" ht="22.5" customHeight="1">
      <c r="A10" s="404" t="s">
        <v>854</v>
      </c>
      <c r="B10" s="405" t="s">
        <v>859</v>
      </c>
      <c r="C10" s="406">
        <v>2003.0</v>
      </c>
      <c r="D10" s="407">
        <v>45822.0</v>
      </c>
      <c r="E10" s="405">
        <f t="shared" si="1"/>
        <v>-415</v>
      </c>
      <c r="F10" s="409">
        <v>45797.0</v>
      </c>
      <c r="G10" s="406"/>
      <c r="H10" s="408" t="s">
        <v>856</v>
      </c>
    </row>
    <row r="11" ht="22.5" customHeight="1">
      <c r="A11" s="404" t="s">
        <v>860</v>
      </c>
      <c r="B11" s="405" t="s">
        <v>861</v>
      </c>
      <c r="C11" s="408">
        <v>2022.0</v>
      </c>
      <c r="D11" s="407">
        <v>45853.0</v>
      </c>
      <c r="E11" s="405">
        <f t="shared" si="1"/>
        <v>-384</v>
      </c>
      <c r="F11" s="406"/>
      <c r="G11" s="408" t="s">
        <v>848</v>
      </c>
      <c r="H11" s="408" t="s">
        <v>849</v>
      </c>
    </row>
    <row r="12" ht="22.5" customHeight="1">
      <c r="A12" s="404" t="s">
        <v>860</v>
      </c>
      <c r="B12" s="405" t="s">
        <v>862</v>
      </c>
      <c r="C12" s="408">
        <v>2022.0</v>
      </c>
      <c r="D12" s="407">
        <v>45853.0</v>
      </c>
      <c r="E12" s="405">
        <f t="shared" si="1"/>
        <v>-384</v>
      </c>
      <c r="F12" s="406"/>
      <c r="G12" s="408" t="s">
        <v>848</v>
      </c>
      <c r="H12" s="408" t="s">
        <v>849</v>
      </c>
    </row>
    <row r="13" ht="22.5" customHeight="1">
      <c r="A13" s="404" t="s">
        <v>854</v>
      </c>
      <c r="B13" s="405" t="s">
        <v>863</v>
      </c>
      <c r="C13" s="406">
        <v>2020.0</v>
      </c>
      <c r="D13" s="407">
        <v>45869.0</v>
      </c>
      <c r="E13" s="405">
        <f t="shared" si="1"/>
        <v>-368</v>
      </c>
      <c r="F13" s="409">
        <v>45852.0</v>
      </c>
      <c r="G13" s="408" t="s">
        <v>864</v>
      </c>
      <c r="H13" s="408" t="s">
        <v>856</v>
      </c>
    </row>
    <row r="14" ht="22.5" customHeight="1">
      <c r="A14" s="404" t="s">
        <v>854</v>
      </c>
      <c r="B14" s="405" t="s">
        <v>865</v>
      </c>
      <c r="C14" s="406">
        <v>2000.0</v>
      </c>
      <c r="D14" s="407">
        <v>45869.0</v>
      </c>
      <c r="E14" s="405">
        <f t="shared" si="1"/>
        <v>-368</v>
      </c>
      <c r="F14" s="409">
        <v>45852.0</v>
      </c>
      <c r="G14" s="406"/>
      <c r="H14" s="408" t="s">
        <v>856</v>
      </c>
    </row>
    <row r="15" ht="22.5" customHeight="1">
      <c r="A15" s="404" t="s">
        <v>854</v>
      </c>
      <c r="B15" s="405" t="s">
        <v>866</v>
      </c>
      <c r="C15" s="406">
        <v>2001.0</v>
      </c>
      <c r="D15" s="407">
        <v>45869.0</v>
      </c>
      <c r="E15" s="405">
        <f t="shared" si="1"/>
        <v>-368</v>
      </c>
      <c r="F15" s="409">
        <v>45852.0</v>
      </c>
      <c r="G15" s="406"/>
      <c r="H15" s="408" t="s">
        <v>856</v>
      </c>
    </row>
    <row r="16" ht="22.5" customHeight="1">
      <c r="A16" s="404" t="s">
        <v>867</v>
      </c>
      <c r="B16" s="405" t="s">
        <v>868</v>
      </c>
      <c r="C16" s="406">
        <v>2020.0</v>
      </c>
      <c r="D16" s="407">
        <v>45869.0</v>
      </c>
      <c r="E16" s="405">
        <f t="shared" si="1"/>
        <v>-368</v>
      </c>
      <c r="F16" s="409">
        <v>45852.0</v>
      </c>
      <c r="G16" s="406"/>
      <c r="H16" s="408" t="s">
        <v>869</v>
      </c>
    </row>
    <row r="17" ht="22.5" customHeight="1">
      <c r="A17" s="404" t="s">
        <v>854</v>
      </c>
      <c r="B17" s="405" t="s">
        <v>870</v>
      </c>
      <c r="C17" s="406">
        <v>2000.0</v>
      </c>
      <c r="D17" s="407">
        <v>45888.0</v>
      </c>
      <c r="E17" s="405">
        <f t="shared" si="1"/>
        <v>-349</v>
      </c>
      <c r="F17" s="409">
        <v>45873.0</v>
      </c>
      <c r="G17" s="406"/>
      <c r="H17" s="408" t="s">
        <v>871</v>
      </c>
    </row>
    <row r="18" ht="22.5" customHeight="1">
      <c r="A18" s="404" t="s">
        <v>854</v>
      </c>
      <c r="B18" s="405" t="s">
        <v>872</v>
      </c>
      <c r="C18" s="406">
        <v>2009.0</v>
      </c>
      <c r="D18" s="407">
        <v>45888.0</v>
      </c>
      <c r="E18" s="405">
        <f t="shared" si="1"/>
        <v>-349</v>
      </c>
      <c r="F18" s="409">
        <v>45873.0</v>
      </c>
      <c r="G18" s="406"/>
      <c r="H18" s="408" t="s">
        <v>871</v>
      </c>
    </row>
    <row r="19" ht="22.5" customHeight="1">
      <c r="A19" s="404" t="s">
        <v>843</v>
      </c>
      <c r="B19" s="405" t="s">
        <v>873</v>
      </c>
      <c r="C19" s="406">
        <v>2018.0</v>
      </c>
      <c r="D19" s="407">
        <v>45911.0</v>
      </c>
      <c r="E19" s="405">
        <f t="shared" si="1"/>
        <v>-326</v>
      </c>
      <c r="F19" s="406"/>
      <c r="G19" s="408" t="s">
        <v>874</v>
      </c>
      <c r="H19" s="408" t="s">
        <v>853</v>
      </c>
    </row>
    <row r="20" ht="22.5" customHeight="1">
      <c r="A20" s="404" t="s">
        <v>843</v>
      </c>
      <c r="B20" s="405" t="s">
        <v>875</v>
      </c>
      <c r="C20" s="406">
        <v>2014.0</v>
      </c>
      <c r="D20" s="407">
        <v>45911.0</v>
      </c>
      <c r="E20" s="405">
        <f t="shared" si="1"/>
        <v>-326</v>
      </c>
      <c r="F20" s="406"/>
      <c r="G20" s="406"/>
      <c r="H20" s="408" t="s">
        <v>853</v>
      </c>
    </row>
    <row r="21" ht="22.5" customHeight="1">
      <c r="A21" s="404" t="s">
        <v>843</v>
      </c>
      <c r="B21" s="405" t="s">
        <v>876</v>
      </c>
      <c r="C21" s="406">
        <v>2021.0</v>
      </c>
      <c r="D21" s="407">
        <v>45911.0</v>
      </c>
      <c r="E21" s="405">
        <f t="shared" si="1"/>
        <v>-326</v>
      </c>
      <c r="F21" s="406"/>
      <c r="G21" s="408" t="s">
        <v>877</v>
      </c>
      <c r="H21" s="408" t="s">
        <v>853</v>
      </c>
    </row>
    <row r="22" ht="22.5" customHeight="1">
      <c r="A22" s="404" t="s">
        <v>843</v>
      </c>
      <c r="B22" s="405" t="s">
        <v>878</v>
      </c>
      <c r="C22" s="406">
        <v>2022.0</v>
      </c>
      <c r="D22" s="407">
        <v>45911.0</v>
      </c>
      <c r="E22" s="405">
        <f t="shared" si="1"/>
        <v>-326</v>
      </c>
      <c r="F22" s="406"/>
      <c r="G22" s="406"/>
      <c r="H22" s="408" t="s">
        <v>853</v>
      </c>
    </row>
    <row r="23" ht="22.5" customHeight="1">
      <c r="A23" s="404" t="s">
        <v>867</v>
      </c>
      <c r="B23" s="405" t="s">
        <v>879</v>
      </c>
      <c r="C23" s="406">
        <v>1997.0</v>
      </c>
      <c r="D23" s="407">
        <v>45911.0</v>
      </c>
      <c r="E23" s="405">
        <f t="shared" si="1"/>
        <v>-326</v>
      </c>
      <c r="F23" s="406"/>
      <c r="G23" s="406"/>
      <c r="H23" s="408" t="s">
        <v>853</v>
      </c>
    </row>
    <row r="24" ht="22.5" customHeight="1">
      <c r="A24" s="404" t="s">
        <v>880</v>
      </c>
      <c r="B24" s="405" t="s">
        <v>881</v>
      </c>
      <c r="C24" s="406">
        <v>2023.0</v>
      </c>
      <c r="D24" s="407">
        <v>45927.0</v>
      </c>
      <c r="E24" s="405">
        <f t="shared" si="1"/>
        <v>-310</v>
      </c>
      <c r="F24" s="409">
        <v>45908.0</v>
      </c>
      <c r="G24" s="408" t="s">
        <v>882</v>
      </c>
      <c r="H24" s="406"/>
    </row>
    <row r="25" ht="22.5" customHeight="1">
      <c r="A25" s="404" t="s">
        <v>867</v>
      </c>
      <c r="B25" s="405" t="s">
        <v>883</v>
      </c>
      <c r="C25" s="406">
        <v>2023.0</v>
      </c>
      <c r="D25" s="407">
        <v>45929.0</v>
      </c>
      <c r="E25" s="405">
        <f t="shared" si="1"/>
        <v>-308</v>
      </c>
      <c r="F25" s="409">
        <v>45908.0</v>
      </c>
      <c r="G25" s="408" t="s">
        <v>845</v>
      </c>
      <c r="H25" s="406"/>
    </row>
    <row r="26" ht="22.5" customHeight="1">
      <c r="A26" s="404" t="s">
        <v>854</v>
      </c>
      <c r="B26" s="405" t="s">
        <v>884</v>
      </c>
      <c r="C26" s="406">
        <v>2019.0</v>
      </c>
      <c r="D26" s="407">
        <v>45948.0</v>
      </c>
      <c r="E26" s="405">
        <f t="shared" si="1"/>
        <v>-289</v>
      </c>
      <c r="F26" s="409">
        <v>45931.0</v>
      </c>
      <c r="G26" s="408" t="s">
        <v>874</v>
      </c>
      <c r="H26" s="408" t="s">
        <v>845</v>
      </c>
    </row>
    <row r="27" ht="22.5" customHeight="1">
      <c r="A27" s="404" t="s">
        <v>854</v>
      </c>
      <c r="B27" s="405" t="s">
        <v>885</v>
      </c>
      <c r="C27" s="406">
        <v>2004.0</v>
      </c>
      <c r="D27" s="407">
        <v>45953.0</v>
      </c>
      <c r="E27" s="405">
        <f t="shared" si="1"/>
        <v>-284</v>
      </c>
      <c r="F27" s="409">
        <v>45931.0</v>
      </c>
      <c r="G27" s="406"/>
      <c r="H27" s="408" t="s">
        <v>845</v>
      </c>
    </row>
    <row r="28" ht="22.5" customHeight="1">
      <c r="A28" s="404" t="s">
        <v>854</v>
      </c>
      <c r="B28" s="405" t="s">
        <v>886</v>
      </c>
      <c r="C28" s="406">
        <v>2005.0</v>
      </c>
      <c r="D28" s="407">
        <v>45953.0</v>
      </c>
      <c r="E28" s="405">
        <f t="shared" si="1"/>
        <v>-284</v>
      </c>
      <c r="F28" s="409">
        <v>45931.0</v>
      </c>
      <c r="G28" s="406"/>
      <c r="H28" s="408" t="s">
        <v>845</v>
      </c>
    </row>
    <row r="29" ht="22.5" customHeight="1">
      <c r="A29" s="404" t="s">
        <v>887</v>
      </c>
      <c r="B29" s="405" t="s">
        <v>888</v>
      </c>
      <c r="C29" s="406">
        <v>2012.0</v>
      </c>
      <c r="D29" s="407">
        <v>46002.0</v>
      </c>
      <c r="E29" s="405">
        <f t="shared" si="1"/>
        <v>-235</v>
      </c>
      <c r="F29" s="409">
        <v>45992.0</v>
      </c>
      <c r="G29" s="408" t="s">
        <v>889</v>
      </c>
      <c r="H29" s="406"/>
    </row>
    <row r="30" ht="22.5" customHeight="1">
      <c r="A30" s="404" t="s">
        <v>854</v>
      </c>
      <c r="B30" s="405" t="s">
        <v>890</v>
      </c>
      <c r="C30" s="406">
        <v>2023.0</v>
      </c>
      <c r="D30" s="407">
        <v>46033.0</v>
      </c>
      <c r="E30" s="405">
        <f t="shared" si="1"/>
        <v>-204</v>
      </c>
      <c r="F30" s="406"/>
      <c r="G30" s="408" t="s">
        <v>848</v>
      </c>
      <c r="H30" s="406"/>
    </row>
    <row r="31" ht="22.5" customHeight="1">
      <c r="A31" s="404" t="s">
        <v>854</v>
      </c>
      <c r="B31" s="405" t="s">
        <v>891</v>
      </c>
      <c r="C31" s="406">
        <v>2022.0</v>
      </c>
      <c r="D31" s="407">
        <v>46033.0</v>
      </c>
      <c r="E31" s="405">
        <f t="shared" si="1"/>
        <v>-204</v>
      </c>
      <c r="F31" s="406"/>
      <c r="G31" s="408" t="s">
        <v>892</v>
      </c>
      <c r="H31" s="406"/>
    </row>
    <row r="32" ht="22.5" customHeight="1">
      <c r="A32" s="404" t="s">
        <v>867</v>
      </c>
      <c r="B32" s="405" t="s">
        <v>893</v>
      </c>
      <c r="C32" s="406">
        <v>2023.0</v>
      </c>
      <c r="D32" s="407">
        <v>46040.0</v>
      </c>
      <c r="E32" s="405">
        <f t="shared" si="1"/>
        <v>-197</v>
      </c>
      <c r="F32" s="406"/>
      <c r="G32" s="406"/>
      <c r="H32" s="406"/>
    </row>
    <row r="33" ht="22.5" customHeight="1">
      <c r="A33" s="404" t="s">
        <v>894</v>
      </c>
      <c r="B33" s="405" t="s">
        <v>895</v>
      </c>
      <c r="C33" s="406">
        <v>2024.0</v>
      </c>
      <c r="D33" s="407">
        <v>46064.0</v>
      </c>
      <c r="E33" s="405">
        <f t="shared" si="1"/>
        <v>-173</v>
      </c>
      <c r="F33" s="410" t="s">
        <v>896</v>
      </c>
      <c r="G33" s="408" t="s">
        <v>877</v>
      </c>
      <c r="H33" s="408" t="s">
        <v>856</v>
      </c>
    </row>
    <row r="34" ht="22.5" customHeight="1">
      <c r="A34" s="404" t="s">
        <v>867</v>
      </c>
      <c r="B34" s="405" t="s">
        <v>897</v>
      </c>
      <c r="C34" s="406">
        <v>2022.0</v>
      </c>
      <c r="D34" s="407">
        <v>46079.0</v>
      </c>
      <c r="E34" s="405">
        <f t="shared" si="1"/>
        <v>-158</v>
      </c>
      <c r="F34" s="406"/>
      <c r="G34" s="406"/>
      <c r="H34" s="406"/>
    </row>
    <row r="35" ht="22.5" customHeight="1">
      <c r="A35" s="404" t="s">
        <v>843</v>
      </c>
      <c r="B35" s="405" t="s">
        <v>898</v>
      </c>
      <c r="C35" s="406">
        <v>2023.0</v>
      </c>
      <c r="D35" s="407">
        <v>46104.0</v>
      </c>
      <c r="E35" s="405">
        <f t="shared" si="1"/>
        <v>-133</v>
      </c>
      <c r="F35" s="409"/>
      <c r="G35" s="408" t="s">
        <v>877</v>
      </c>
      <c r="H35" s="406"/>
    </row>
    <row r="36" ht="22.5" customHeight="1">
      <c r="A36" s="404" t="s">
        <v>843</v>
      </c>
      <c r="B36" s="405" t="s">
        <v>899</v>
      </c>
      <c r="C36" s="406">
        <v>2022.0</v>
      </c>
      <c r="D36" s="407">
        <v>46104.0</v>
      </c>
      <c r="E36" s="405">
        <f t="shared" si="1"/>
        <v>-133</v>
      </c>
      <c r="F36" s="409"/>
      <c r="G36" s="408" t="s">
        <v>522</v>
      </c>
      <c r="H36" s="406"/>
    </row>
    <row r="37" ht="22.5" customHeight="1">
      <c r="A37" s="404" t="s">
        <v>854</v>
      </c>
      <c r="B37" s="405" t="s">
        <v>900</v>
      </c>
      <c r="C37" s="406">
        <v>2021.0</v>
      </c>
      <c r="D37" s="407">
        <v>46106.0</v>
      </c>
      <c r="E37" s="405">
        <f t="shared" si="1"/>
        <v>-131</v>
      </c>
      <c r="F37" s="409">
        <v>45726.0</v>
      </c>
      <c r="G37" s="408" t="s">
        <v>901</v>
      </c>
      <c r="H37" s="406"/>
    </row>
    <row r="38" ht="22.5" customHeight="1">
      <c r="A38" s="404" t="s">
        <v>902</v>
      </c>
      <c r="B38" s="405" t="s">
        <v>903</v>
      </c>
      <c r="C38" s="406">
        <v>2021.0</v>
      </c>
      <c r="D38" s="407">
        <v>46117.0</v>
      </c>
      <c r="E38" s="405">
        <f t="shared" si="1"/>
        <v>-120</v>
      </c>
      <c r="F38" s="409">
        <v>45733.0</v>
      </c>
      <c r="G38" s="408" t="s">
        <v>904</v>
      </c>
      <c r="H38" s="408" t="s">
        <v>856</v>
      </c>
    </row>
    <row r="39" ht="22.5" customHeight="1">
      <c r="A39" s="404" t="s">
        <v>902</v>
      </c>
      <c r="B39" s="405" t="s">
        <v>905</v>
      </c>
      <c r="C39" s="406">
        <v>2021.0</v>
      </c>
      <c r="D39" s="407">
        <v>46117.0</v>
      </c>
      <c r="E39" s="405">
        <f t="shared" si="1"/>
        <v>-120</v>
      </c>
      <c r="F39" s="409"/>
      <c r="G39" s="408" t="s">
        <v>892</v>
      </c>
      <c r="H39" s="406"/>
    </row>
    <row r="40" ht="22.5" customHeight="1">
      <c r="A40" s="404" t="s">
        <v>902</v>
      </c>
      <c r="B40" s="405" t="s">
        <v>906</v>
      </c>
      <c r="C40" s="406"/>
      <c r="D40" s="407">
        <v>46137.0</v>
      </c>
      <c r="E40" s="405">
        <f t="shared" si="1"/>
        <v>-100</v>
      </c>
      <c r="F40" s="406"/>
      <c r="G40" s="408" t="s">
        <v>892</v>
      </c>
      <c r="H40" s="408" t="s">
        <v>856</v>
      </c>
    </row>
    <row r="41" ht="22.5" customHeight="1">
      <c r="A41" s="404" t="s">
        <v>854</v>
      </c>
      <c r="B41" s="405" t="s">
        <v>907</v>
      </c>
      <c r="C41" s="406">
        <v>2024.0</v>
      </c>
      <c r="D41" s="407">
        <v>46141.0</v>
      </c>
      <c r="E41" s="405">
        <f t="shared" si="1"/>
        <v>-96</v>
      </c>
      <c r="F41" s="406"/>
      <c r="G41" s="408" t="s">
        <v>848</v>
      </c>
      <c r="H41" s="406"/>
    </row>
    <row r="42" ht="22.5" customHeight="1">
      <c r="A42" s="404" t="s">
        <v>902</v>
      </c>
      <c r="B42" s="405" t="s">
        <v>908</v>
      </c>
      <c r="C42" s="406"/>
      <c r="D42" s="407">
        <v>46148.0</v>
      </c>
      <c r="E42" s="405">
        <f t="shared" si="1"/>
        <v>-89</v>
      </c>
      <c r="F42" s="406"/>
      <c r="G42" s="408" t="s">
        <v>904</v>
      </c>
      <c r="H42" s="408" t="s">
        <v>856</v>
      </c>
    </row>
    <row r="43" ht="22.5" customHeight="1">
      <c r="A43" s="404" t="s">
        <v>843</v>
      </c>
      <c r="B43" s="405" t="s">
        <v>909</v>
      </c>
      <c r="C43" s="408">
        <v>2023.0</v>
      </c>
      <c r="D43" s="407">
        <v>46154.0</v>
      </c>
      <c r="E43" s="405">
        <f t="shared" si="1"/>
        <v>-83</v>
      </c>
      <c r="F43" s="409"/>
      <c r="G43" s="408" t="s">
        <v>848</v>
      </c>
      <c r="H43" s="406"/>
    </row>
    <row r="44" ht="22.5" customHeight="1">
      <c r="A44" s="404" t="s">
        <v>860</v>
      </c>
      <c r="B44" s="405" t="s">
        <v>910</v>
      </c>
      <c r="C44" s="408">
        <v>2022.0</v>
      </c>
      <c r="D44" s="407">
        <v>46156.0</v>
      </c>
      <c r="E44" s="405">
        <f t="shared" si="1"/>
        <v>-81</v>
      </c>
      <c r="F44" s="406"/>
      <c r="G44" s="408" t="s">
        <v>848</v>
      </c>
      <c r="H44" s="406"/>
    </row>
    <row r="45" ht="22.5" customHeight="1">
      <c r="A45" s="404" t="s">
        <v>860</v>
      </c>
      <c r="B45" s="405" t="s">
        <v>911</v>
      </c>
      <c r="C45" s="408">
        <v>2022.0</v>
      </c>
      <c r="D45" s="407">
        <v>46157.0</v>
      </c>
      <c r="E45" s="405">
        <f t="shared" si="1"/>
        <v>-80</v>
      </c>
      <c r="F45" s="406"/>
      <c r="G45" s="406"/>
      <c r="H45" s="406"/>
    </row>
    <row r="46" ht="22.5" customHeight="1">
      <c r="A46" s="404" t="s">
        <v>854</v>
      </c>
      <c r="B46" s="405" t="s">
        <v>912</v>
      </c>
      <c r="C46" s="406">
        <v>2020.0</v>
      </c>
      <c r="D46" s="407">
        <v>46178.0</v>
      </c>
      <c r="E46" s="405">
        <f t="shared" si="1"/>
        <v>-59</v>
      </c>
      <c r="F46" s="409"/>
      <c r="G46" s="406"/>
      <c r="H46" s="406"/>
    </row>
    <row r="47" ht="22.5" customHeight="1">
      <c r="A47" s="404" t="s">
        <v>913</v>
      </c>
      <c r="B47" s="405" t="s">
        <v>914</v>
      </c>
      <c r="C47" s="406">
        <v>2023.0</v>
      </c>
      <c r="D47" s="407">
        <v>46220.0</v>
      </c>
      <c r="E47" s="405">
        <f t="shared" si="1"/>
        <v>-17</v>
      </c>
      <c r="F47" s="406"/>
      <c r="G47" s="408" t="s">
        <v>848</v>
      </c>
      <c r="H47" s="406"/>
    </row>
    <row r="48" ht="22.5" customHeight="1">
      <c r="A48" s="404" t="s">
        <v>860</v>
      </c>
      <c r="B48" s="405" t="s">
        <v>915</v>
      </c>
      <c r="C48" s="406">
        <v>2025.0</v>
      </c>
      <c r="D48" s="407">
        <v>46220.0</v>
      </c>
      <c r="E48" s="405">
        <f t="shared" si="1"/>
        <v>-17</v>
      </c>
      <c r="F48" s="406"/>
      <c r="G48" s="408" t="s">
        <v>848</v>
      </c>
      <c r="H48" s="406"/>
    </row>
    <row r="49" ht="22.5" customHeight="1">
      <c r="A49" s="404" t="s">
        <v>902</v>
      </c>
      <c r="B49" s="405" t="s">
        <v>916</v>
      </c>
      <c r="C49" s="406"/>
      <c r="D49" s="407">
        <v>46250.0</v>
      </c>
      <c r="E49" s="405">
        <f t="shared" si="1"/>
        <v>13</v>
      </c>
      <c r="F49" s="406"/>
      <c r="G49" s="408" t="s">
        <v>904</v>
      </c>
      <c r="H49" s="408" t="s">
        <v>856</v>
      </c>
    </row>
    <row r="50" ht="22.5" customHeight="1">
      <c r="A50" s="404" t="s">
        <v>917</v>
      </c>
      <c r="B50" s="405" t="s">
        <v>918</v>
      </c>
      <c r="C50" s="406">
        <v>2024.0</v>
      </c>
      <c r="D50" s="407">
        <v>46305.0</v>
      </c>
      <c r="E50" s="405">
        <f t="shared" si="1"/>
        <v>68</v>
      </c>
      <c r="F50" s="406"/>
      <c r="G50" s="408" t="s">
        <v>877</v>
      </c>
      <c r="H50" s="408" t="s">
        <v>856</v>
      </c>
    </row>
    <row r="51" ht="22.5" customHeight="1">
      <c r="A51" s="404" t="s">
        <v>867</v>
      </c>
      <c r="B51" s="405" t="s">
        <v>919</v>
      </c>
      <c r="C51" s="406">
        <v>2024.0</v>
      </c>
      <c r="D51" s="407">
        <v>46437.0</v>
      </c>
      <c r="E51" s="405">
        <f t="shared" si="1"/>
        <v>200</v>
      </c>
      <c r="F51" s="406"/>
      <c r="G51" s="406"/>
      <c r="H51" s="408" t="s">
        <v>856</v>
      </c>
    </row>
    <row r="52" ht="22.5" customHeight="1">
      <c r="A52" s="404" t="s">
        <v>854</v>
      </c>
      <c r="B52" s="405" t="s">
        <v>920</v>
      </c>
      <c r="C52" s="406">
        <v>2007.0</v>
      </c>
      <c r="D52" s="407">
        <v>46473.0</v>
      </c>
      <c r="E52" s="405">
        <f t="shared" si="1"/>
        <v>236</v>
      </c>
      <c r="F52" s="409"/>
      <c r="G52" s="406"/>
      <c r="H52" s="406"/>
    </row>
    <row r="53" ht="22.5" customHeight="1">
      <c r="A53" s="404" t="s">
        <v>854</v>
      </c>
      <c r="B53" s="405" t="s">
        <v>921</v>
      </c>
      <c r="C53" s="406">
        <v>2007.0</v>
      </c>
      <c r="D53" s="407">
        <v>46473.0</v>
      </c>
      <c r="E53" s="405">
        <f t="shared" si="1"/>
        <v>236</v>
      </c>
      <c r="F53" s="409"/>
      <c r="G53" s="406"/>
      <c r="H53" s="406"/>
    </row>
    <row r="54" ht="22.5" customHeight="1">
      <c r="A54" s="404" t="s">
        <v>854</v>
      </c>
      <c r="B54" s="405" t="s">
        <v>922</v>
      </c>
      <c r="C54" s="406">
        <v>2025.0</v>
      </c>
      <c r="D54" s="407">
        <v>46473.0</v>
      </c>
      <c r="E54" s="405">
        <f t="shared" si="1"/>
        <v>236</v>
      </c>
      <c r="F54" s="409"/>
      <c r="G54" s="408" t="s">
        <v>874</v>
      </c>
      <c r="H54" s="406"/>
    </row>
    <row r="55" ht="22.5" customHeight="1">
      <c r="A55" s="404" t="s">
        <v>854</v>
      </c>
      <c r="B55" s="405" t="s">
        <v>923</v>
      </c>
      <c r="C55" s="406">
        <v>2025.0</v>
      </c>
      <c r="D55" s="407">
        <v>46473.0</v>
      </c>
      <c r="E55" s="405">
        <f t="shared" si="1"/>
        <v>236</v>
      </c>
      <c r="F55" s="406"/>
      <c r="G55" s="408" t="s">
        <v>848</v>
      </c>
      <c r="H55" s="406"/>
    </row>
    <row r="56" ht="22.5" customHeight="1">
      <c r="A56" s="404" t="s">
        <v>854</v>
      </c>
      <c r="B56" s="405" t="s">
        <v>924</v>
      </c>
      <c r="C56" s="406">
        <v>2025.0</v>
      </c>
      <c r="D56" s="407">
        <v>46473.0</v>
      </c>
      <c r="E56" s="405">
        <f t="shared" si="1"/>
        <v>236</v>
      </c>
      <c r="F56" s="406"/>
      <c r="G56" s="408" t="s">
        <v>848</v>
      </c>
      <c r="H56" s="406"/>
    </row>
    <row r="57" ht="22.5" customHeight="1">
      <c r="A57" s="404" t="s">
        <v>843</v>
      </c>
      <c r="B57" s="405" t="s">
        <v>925</v>
      </c>
      <c r="C57" s="406">
        <v>2025.0</v>
      </c>
      <c r="D57" s="407">
        <v>46526.0</v>
      </c>
      <c r="E57" s="405">
        <f t="shared" si="1"/>
        <v>289</v>
      </c>
      <c r="F57" s="409"/>
      <c r="G57" s="408" t="s">
        <v>892</v>
      </c>
      <c r="H57" s="408" t="s">
        <v>856</v>
      </c>
    </row>
    <row r="58" ht="22.5" customHeight="1">
      <c r="A58" s="404" t="s">
        <v>887</v>
      </c>
      <c r="B58" s="405" t="s">
        <v>926</v>
      </c>
      <c r="C58" s="406"/>
      <c r="D58" s="407">
        <v>46526.0</v>
      </c>
      <c r="E58" s="405">
        <f t="shared" si="1"/>
        <v>289</v>
      </c>
      <c r="F58" s="406"/>
      <c r="G58" s="408" t="s">
        <v>927</v>
      </c>
      <c r="H58" s="408" t="s">
        <v>856</v>
      </c>
    </row>
    <row r="59" ht="22.5" customHeight="1">
      <c r="A59" s="404" t="s">
        <v>846</v>
      </c>
      <c r="B59" s="405" t="s">
        <v>928</v>
      </c>
      <c r="C59" s="408">
        <v>2025.0</v>
      </c>
      <c r="D59" s="407" t="s">
        <v>929</v>
      </c>
      <c r="E59" s="405" t="str">
        <f t="shared" si="1"/>
        <v>#VALUE!</v>
      </c>
      <c r="F59" s="406"/>
      <c r="G59" s="408" t="s">
        <v>848</v>
      </c>
      <c r="H59" s="408" t="s">
        <v>849</v>
      </c>
    </row>
    <row r="60" ht="22.5" customHeight="1">
      <c r="A60" s="404" t="s">
        <v>854</v>
      </c>
      <c r="B60" s="405" t="s">
        <v>930</v>
      </c>
      <c r="C60" s="406">
        <v>2013.0</v>
      </c>
      <c r="D60" s="407"/>
      <c r="E60" s="405">
        <f t="shared" si="1"/>
        <v>-46237</v>
      </c>
      <c r="F60" s="409"/>
      <c r="G60" s="406"/>
      <c r="H60" s="408" t="s">
        <v>931</v>
      </c>
    </row>
    <row r="61" ht="22.5" customHeight="1">
      <c r="A61" s="404" t="s">
        <v>854</v>
      </c>
      <c r="B61" s="405" t="s">
        <v>932</v>
      </c>
      <c r="C61" s="406">
        <v>2015.0</v>
      </c>
      <c r="D61" s="407"/>
      <c r="E61" s="405">
        <f t="shared" si="1"/>
        <v>-46237</v>
      </c>
      <c r="F61" s="409"/>
      <c r="G61" s="406"/>
      <c r="H61" s="408" t="s">
        <v>931</v>
      </c>
    </row>
    <row r="62" ht="22.5" customHeight="1">
      <c r="A62" s="404" t="s">
        <v>854</v>
      </c>
      <c r="B62" s="405" t="s">
        <v>933</v>
      </c>
      <c r="C62" s="406">
        <v>2011.0</v>
      </c>
      <c r="D62" s="407"/>
      <c r="E62" s="405">
        <f t="shared" si="1"/>
        <v>-46237</v>
      </c>
      <c r="F62" s="409"/>
      <c r="G62" s="406"/>
      <c r="H62" s="408" t="s">
        <v>931</v>
      </c>
    </row>
    <row r="63" ht="22.5" customHeight="1">
      <c r="A63" s="404" t="s">
        <v>854</v>
      </c>
      <c r="B63" s="405" t="s">
        <v>934</v>
      </c>
      <c r="C63" s="406"/>
      <c r="D63" s="407"/>
      <c r="E63" s="405">
        <f t="shared" si="1"/>
        <v>-46237</v>
      </c>
      <c r="F63" s="409"/>
      <c r="G63" s="408" t="s">
        <v>901</v>
      </c>
      <c r="H63" s="406"/>
    </row>
    <row r="64" ht="22.5" customHeight="1">
      <c r="A64" s="404" t="s">
        <v>843</v>
      </c>
      <c r="B64" s="405" t="s">
        <v>935</v>
      </c>
      <c r="C64" s="406">
        <v>2016.0</v>
      </c>
      <c r="D64" s="407"/>
      <c r="E64" s="405">
        <f t="shared" si="1"/>
        <v>-46237</v>
      </c>
      <c r="F64" s="406"/>
      <c r="G64" s="408" t="s">
        <v>936</v>
      </c>
      <c r="H64" s="408" t="s">
        <v>856</v>
      </c>
    </row>
    <row r="65" ht="22.5" customHeight="1">
      <c r="A65" s="404" t="s">
        <v>867</v>
      </c>
      <c r="B65" s="405" t="s">
        <v>937</v>
      </c>
      <c r="C65" s="406"/>
      <c r="D65" s="407"/>
      <c r="E65" s="405">
        <f t="shared" si="1"/>
        <v>-46237</v>
      </c>
      <c r="F65" s="409"/>
      <c r="G65" s="408" t="s">
        <v>938</v>
      </c>
      <c r="H65" s="408" t="s">
        <v>931</v>
      </c>
    </row>
  </sheetData>
  <dataValidations>
    <dataValidation type="custom" allowBlank="1" showDropDown="1" sqref="D2:D65">
      <formula1>OR(NOT(ISERROR(DATEVALUE(D2))), AND(ISNUMBER(D2), LEFT(CELL("format", D2))="D"))</formula1>
    </dataValidation>
    <dataValidation type="list" allowBlank="1" sqref="A2:A65">
      <formula1>"Demolition Robot,Forklift,Skid Steer,Vacuum Truck,Pan Mixer,Cutting Brick,Gunning Machine,Excavator,Over Head Crane,Telehandler,TMC"</formula1>
    </dataValidation>
    <dataValidation allowBlank="1" showDropDown="1" sqref="B2:B65 E2:E65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6.0"/>
    <col customWidth="1" min="3" max="3" width="20.57"/>
    <col customWidth="1" min="4" max="4" width="19.71"/>
    <col customWidth="1" min="5" max="5" width="23.14"/>
    <col customWidth="1" min="6" max="6" width="28.0"/>
    <col customWidth="1" min="7" max="7" width="19.29"/>
    <col customWidth="1" min="8" max="8" width="23.29"/>
  </cols>
  <sheetData>
    <row r="1" ht="22.5" customHeight="1">
      <c r="A1" s="403" t="s">
        <v>836</v>
      </c>
      <c r="B1" s="403" t="s">
        <v>837</v>
      </c>
      <c r="C1" s="403" t="s">
        <v>838</v>
      </c>
      <c r="D1" s="403" t="s">
        <v>839</v>
      </c>
      <c r="E1" s="403" t="s">
        <v>840</v>
      </c>
      <c r="F1" s="403" t="s">
        <v>841</v>
      </c>
      <c r="G1" s="403" t="s">
        <v>842</v>
      </c>
      <c r="H1" s="403" t="s">
        <v>12</v>
      </c>
    </row>
    <row r="2" ht="22.5" customHeight="1">
      <c r="A2" s="404"/>
      <c r="B2" s="405"/>
      <c r="C2" s="406"/>
      <c r="D2" s="407"/>
      <c r="E2" s="405"/>
      <c r="F2" s="406"/>
      <c r="G2" s="408"/>
      <c r="H2" s="406"/>
    </row>
    <row r="3" ht="22.5" customHeight="1">
      <c r="A3" s="404" t="str">
        <f>IFERROR(__xludf.DUMMYFUNCTION("ARRAYFORMULA(IFERROR(IMPORTRANGE(""https://docs.google.com/spreadsheets/d/1BoVbcVjajMWqGbRcHnQmqIaR3uLfmpqZ9wypkuUWsLg/edit"", ""Monitoring Exp!A2:A""),))
"),"Cutting Brick")</f>
        <v>Cutting Brick</v>
      </c>
      <c r="B3" s="405" t="str">
        <f>IFERROR(__xludf.DUMMYFUNCTION("ARRAYFORMULA(IMPORTRANGE(""https://docs.google.com/spreadsheets/d/1BoVbcVjajMWqGbRcHnQmqIaR3uLfmpqZ9wypkuUWsLg/edit"", ""Monitoring Exp!B2:Z""))
"),"Brick Cutting - BC001")</f>
        <v>Brick Cutting - BC001</v>
      </c>
      <c r="C3" s="408">
        <f>IFERROR(__xludf.DUMMYFUNCTION("""COMPUTED_VALUE"""),2021.0)</f>
        <v>2021</v>
      </c>
      <c r="D3" s="407">
        <f>IFERROR(__xludf.DUMMYFUNCTION("""COMPUTED_VALUE"""),45733.0)</f>
        <v>45733</v>
      </c>
      <c r="E3" s="405">
        <f>IFERROR(__xludf.DUMMYFUNCTION("""COMPUTED_VALUE"""),-505.0)</f>
        <v>-505</v>
      </c>
      <c r="F3" s="406"/>
      <c r="G3" s="408" t="str">
        <f>IFERROR(__xludf.DUMMYFUNCTION("""COMPUTED_VALUE"""),"PTFI - Refractory Routine Maintenance")</f>
        <v>PTFI - Refractory Routine Maintenance</v>
      </c>
      <c r="H3" s="408" t="str">
        <f>IFERROR(__xludf.DUMMYFUNCTION("""COMPUTED_VALUE"""),"PJK3 Sudah Release
SILO Belum Release")</f>
        <v>PJK3 Sudah Release
SILO Belum Release</v>
      </c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</row>
    <row r="4" ht="22.5" customHeight="1">
      <c r="A4" s="404" t="str">
        <f>IFERROR(__xludf.DUMMYFUNCTION("""COMPUTED_VALUE"""),"Cutting Brick")</f>
        <v>Cutting Brick</v>
      </c>
      <c r="B4" s="405" t="str">
        <f>IFERROR(__xludf.DUMMYFUNCTION("""COMPUTED_VALUE"""),"Brick Cutting - BC002")</f>
        <v>Brick Cutting - BC002</v>
      </c>
      <c r="C4" s="408">
        <f>IFERROR(__xludf.DUMMYFUNCTION("""COMPUTED_VALUE"""),2021.0)</f>
        <v>2021</v>
      </c>
      <c r="D4" s="407">
        <f>IFERROR(__xludf.DUMMYFUNCTION("""COMPUTED_VALUE"""),45733.0)</f>
        <v>45733</v>
      </c>
      <c r="E4" s="405">
        <f>IFERROR(__xludf.DUMMYFUNCTION("""COMPUTED_VALUE"""),-505.0)</f>
        <v>-505</v>
      </c>
      <c r="F4" s="406"/>
      <c r="G4" s="408" t="str">
        <f>IFERROR(__xludf.DUMMYFUNCTION("""COMPUTED_VALUE"""),"PTFI - Refractory Routine Maintenance")</f>
        <v>PTFI - Refractory Routine Maintenance</v>
      </c>
      <c r="H4" s="408" t="str">
        <f>IFERROR(__xludf.DUMMYFUNCTION("""COMPUTED_VALUE"""),"PJK3 Sudah Release
SILO Belum Release")</f>
        <v>PJK3 Sudah Release
SILO Belum Release</v>
      </c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</row>
    <row r="5" ht="22.5" customHeight="1">
      <c r="A5" s="404" t="str">
        <f>IFERROR(__xludf.DUMMYFUNCTION("""COMPUTED_VALUE"""),"Cutting Brick")</f>
        <v>Cutting Brick</v>
      </c>
      <c r="B5" s="405" t="str">
        <f>IFERROR(__xludf.DUMMYFUNCTION("""COMPUTED_VALUE"""),"Brick Cutting - BC003")</f>
        <v>Brick Cutting - BC003</v>
      </c>
      <c r="C5" s="408">
        <f>IFERROR(__xludf.DUMMYFUNCTION("""COMPUTED_VALUE"""),2021.0)</f>
        <v>2021</v>
      </c>
      <c r="D5" s="407">
        <f>IFERROR(__xludf.DUMMYFUNCTION("""COMPUTED_VALUE"""),45733.0)</f>
        <v>45733</v>
      </c>
      <c r="E5" s="405">
        <f>IFERROR(__xludf.DUMMYFUNCTION("""COMPUTED_VALUE"""),-505.0)</f>
        <v>-505</v>
      </c>
      <c r="F5" s="406"/>
      <c r="G5" s="408" t="str">
        <f>IFERROR(__xludf.DUMMYFUNCTION("""COMPUTED_VALUE"""),"PTFI - Refractory Routine Maintenance")</f>
        <v>PTFI - Refractory Routine Maintenance</v>
      </c>
      <c r="H5" s="408" t="str">
        <f>IFERROR(__xludf.DUMMYFUNCTION("""COMPUTED_VALUE"""),"PJK3 Sudah Release
SILO Belum Release")</f>
        <v>PJK3 Sudah Release
SILO Belum Release</v>
      </c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</row>
    <row r="6" ht="22.5" customHeight="1">
      <c r="A6" s="404" t="str">
        <f>IFERROR(__xludf.DUMMYFUNCTION("""COMPUTED_VALUE"""),"Cutting Brick")</f>
        <v>Cutting Brick</v>
      </c>
      <c r="B6" s="405" t="str">
        <f>IFERROR(__xludf.DUMMYFUNCTION("""COMPUTED_VALUE"""),"Brick Cutting - BC005")</f>
        <v>Brick Cutting - BC005</v>
      </c>
      <c r="C6" s="406">
        <f>IFERROR(__xludf.DUMMYFUNCTION("""COMPUTED_VALUE"""),2025.0)</f>
        <v>2025</v>
      </c>
      <c r="D6" s="407" t="str">
        <f>IFERROR(__xludf.DUMMYFUNCTION("""COMPUTED_VALUE"""),"On progress")</f>
        <v>On progress</v>
      </c>
      <c r="E6" s="405" t="str">
        <f>IFERROR(__xludf.DUMMYFUNCTION("""COMPUTED_VALUE"""),"#VALUE!")</f>
        <v>#VALUE!</v>
      </c>
      <c r="F6" s="406"/>
      <c r="G6" s="406" t="str">
        <f>IFERROR(__xludf.DUMMYFUNCTION("""COMPUTED_VALUE"""),"PTFI - Refractory Routine Maintenance")</f>
        <v>PTFI - Refractory Routine Maintenance</v>
      </c>
      <c r="H6" s="408" t="str">
        <f>IFERROR(__xludf.DUMMYFUNCTION("""COMPUTED_VALUE"""),"PJK3 Sudah Release
SILO Belum Release")</f>
        <v>PJK3 Sudah Release
SILO Belum Release</v>
      </c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ht="22.5" customHeight="1">
      <c r="A7" s="404" t="str">
        <f>IFERROR(__xludf.DUMMYFUNCTION("""COMPUTED_VALUE"""),"Forklift")</f>
        <v>Forklift</v>
      </c>
      <c r="B7" s="405" t="str">
        <f>IFERROR(__xludf.DUMMYFUNCTION("""COMPUTED_VALUE"""),"3 Ton - CF14E-18563")</f>
        <v>3 Ton - CF14E-18563</v>
      </c>
      <c r="C7" s="406">
        <f>IFERROR(__xludf.DUMMYFUNCTION("""COMPUTED_VALUE"""),2019.0)</f>
        <v>2019</v>
      </c>
      <c r="D7" s="407">
        <f>IFERROR(__xludf.DUMMYFUNCTION("""COMPUTED_VALUE"""),45533.0)</f>
        <v>45533</v>
      </c>
      <c r="E7" s="405">
        <f>IFERROR(__xludf.DUMMYFUNCTION("""COMPUTED_VALUE"""),-705.0)</f>
        <v>-705</v>
      </c>
      <c r="F7" s="409"/>
      <c r="G7" s="406" t="str">
        <f>IFERROR(__xludf.DUMMYFUNCTION("""COMPUTED_VALUE"""),"expired")</f>
        <v>expired</v>
      </c>
      <c r="H7" s="408"/>
      <c r="I7" s="411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</row>
    <row r="8" ht="22.5" customHeight="1">
      <c r="A8" s="404" t="str">
        <f>IFERROR(__xludf.DUMMYFUNCTION("""COMPUTED_VALUE"""),"Forklift")</f>
        <v>Forklift</v>
      </c>
      <c r="B8" s="405" t="str">
        <f>IFERROR(__xludf.DUMMYFUNCTION("""COMPUTED_VALUE"""),"3 Ton - CF51-12479")</f>
        <v>3 Ton - CF51-12479</v>
      </c>
      <c r="C8" s="406">
        <f>IFERROR(__xludf.DUMMYFUNCTION("""COMPUTED_VALUE"""),2022.0)</f>
        <v>2022</v>
      </c>
      <c r="D8" s="407">
        <f>IFERROR(__xludf.DUMMYFUNCTION("""COMPUTED_VALUE"""),45776.0)</f>
        <v>45776</v>
      </c>
      <c r="E8" s="405">
        <f>IFERROR(__xludf.DUMMYFUNCTION("""COMPUTED_VALUE"""),-462.0)</f>
        <v>-462</v>
      </c>
      <c r="F8" s="409"/>
      <c r="G8" s="406"/>
      <c r="H8" s="408" t="str">
        <f>IFERROR(__xludf.DUMMYFUNCTION("""COMPUTED_VALUE"""),"Under Process by AKM
Submit disnaker 3 Nov 2025")</f>
        <v>Under Process by AKM
Submit disnaker 3 Nov 2025</v>
      </c>
      <c r="I8" s="411"/>
      <c r="J8" s="411"/>
      <c r="K8" s="411"/>
      <c r="L8" s="411"/>
      <c r="M8" s="411"/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</row>
    <row r="9" ht="22.5" customHeight="1">
      <c r="A9" s="404" t="str">
        <f>IFERROR(__xludf.DUMMYFUNCTION("""COMPUTED_VALUE"""),"Demolition Robot")</f>
        <v>Demolition Robot</v>
      </c>
      <c r="B9" s="405" t="str">
        <f>IFERROR(__xludf.DUMMYFUNCTION("""COMPUTED_VALUE"""),"BM 250 - 0314")</f>
        <v>BM 250 - 0314</v>
      </c>
      <c r="C9" s="406">
        <f>IFERROR(__xludf.DUMMYFUNCTION("""COMPUTED_VALUE"""),2000.0)</f>
        <v>2000</v>
      </c>
      <c r="D9" s="407">
        <f>IFERROR(__xludf.DUMMYFUNCTION("""COMPUTED_VALUE"""),45822.0)</f>
        <v>45822</v>
      </c>
      <c r="E9" s="405">
        <f>IFERROR(__xludf.DUMMYFUNCTION("""COMPUTED_VALUE"""),-416.0)</f>
        <v>-416</v>
      </c>
      <c r="F9" s="409">
        <f>IFERROR(__xludf.DUMMYFUNCTION("""COMPUTED_VALUE"""),45797.0)</f>
        <v>45797</v>
      </c>
      <c r="G9" s="406"/>
      <c r="H9" s="408"/>
      <c r="I9" s="411"/>
      <c r="J9" s="411"/>
      <c r="K9" s="411"/>
      <c r="L9" s="411"/>
      <c r="M9" s="411"/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</row>
    <row r="10" ht="22.5" customHeight="1">
      <c r="A10" s="404" t="str">
        <f>IFERROR(__xludf.DUMMYFUNCTION("""COMPUTED_VALUE"""),"Demolition Robot")</f>
        <v>Demolition Robot</v>
      </c>
      <c r="B10" s="405" t="str">
        <f>IFERROR(__xludf.DUMMYFUNCTION("""COMPUTED_VALUE"""),"BM 250 - 0395")</f>
        <v>BM 250 - 0395</v>
      </c>
      <c r="C10" s="406">
        <f>IFERROR(__xludf.DUMMYFUNCTION("""COMPUTED_VALUE"""),2000.0)</f>
        <v>2000</v>
      </c>
      <c r="D10" s="407">
        <f>IFERROR(__xludf.DUMMYFUNCTION("""COMPUTED_VALUE"""),45822.0)</f>
        <v>45822</v>
      </c>
      <c r="E10" s="405">
        <f>IFERROR(__xludf.DUMMYFUNCTION("""COMPUTED_VALUE"""),-416.0)</f>
        <v>-416</v>
      </c>
      <c r="F10" s="409">
        <f>IFERROR(__xludf.DUMMYFUNCTION("""COMPUTED_VALUE"""),45797.0)</f>
        <v>45797</v>
      </c>
      <c r="G10" s="406"/>
      <c r="H10" s="408"/>
      <c r="I10" s="411"/>
      <c r="J10" s="411"/>
      <c r="K10" s="411"/>
      <c r="L10" s="411"/>
      <c r="M10" s="411"/>
      <c r="N10" s="411"/>
      <c r="O10" s="411"/>
      <c r="P10" s="411"/>
      <c r="Q10" s="411"/>
      <c r="R10" s="411"/>
      <c r="S10" s="411"/>
      <c r="T10" s="411"/>
      <c r="U10" s="411"/>
      <c r="V10" s="411"/>
      <c r="W10" s="411"/>
      <c r="X10" s="411"/>
      <c r="Y10" s="411"/>
      <c r="Z10" s="411"/>
    </row>
    <row r="11" ht="22.5" customHeight="1">
      <c r="A11" s="404" t="str">
        <f>IFERROR(__xludf.DUMMYFUNCTION("""COMPUTED_VALUE"""),"Demolition Robot")</f>
        <v>Demolition Robot</v>
      </c>
      <c r="B11" s="405" t="str">
        <f>IFERROR(__xludf.DUMMYFUNCTION("""COMPUTED_VALUE"""),"BM 250T - 0361")</f>
        <v>BM 250T - 0361</v>
      </c>
      <c r="C11" s="408">
        <f>IFERROR(__xludf.DUMMYFUNCTION("""COMPUTED_VALUE"""),2000.0)</f>
        <v>2000</v>
      </c>
      <c r="D11" s="407">
        <f>IFERROR(__xludf.DUMMYFUNCTION("""COMPUTED_VALUE"""),45822.0)</f>
        <v>45822</v>
      </c>
      <c r="E11" s="405">
        <f>IFERROR(__xludf.DUMMYFUNCTION("""COMPUTED_VALUE"""),-416.0)</f>
        <v>-416</v>
      </c>
      <c r="F11" s="409">
        <f>IFERROR(__xludf.DUMMYFUNCTION("""COMPUTED_VALUE"""),45797.0)</f>
        <v>45797</v>
      </c>
      <c r="G11" s="408"/>
      <c r="H11" s="408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</row>
    <row r="12" ht="22.5" customHeight="1">
      <c r="A12" s="404" t="str">
        <f>IFERROR(__xludf.DUMMYFUNCTION("""COMPUTED_VALUE"""),"Demolition Robot")</f>
        <v>Demolition Robot</v>
      </c>
      <c r="B12" s="405" t="str">
        <f>IFERROR(__xludf.DUMMYFUNCTION("""COMPUTED_VALUE"""),"BM 90 - 920381")</f>
        <v>BM 90 - 920381</v>
      </c>
      <c r="C12" s="408">
        <f>IFERROR(__xludf.DUMMYFUNCTION("""COMPUTED_VALUE"""),2003.0)</f>
        <v>2003</v>
      </c>
      <c r="D12" s="407">
        <f>IFERROR(__xludf.DUMMYFUNCTION("""COMPUTED_VALUE"""),45822.0)</f>
        <v>45822</v>
      </c>
      <c r="E12" s="405">
        <f>IFERROR(__xludf.DUMMYFUNCTION("""COMPUTED_VALUE"""),-416.0)</f>
        <v>-416</v>
      </c>
      <c r="F12" s="409">
        <f>IFERROR(__xludf.DUMMYFUNCTION("""COMPUTED_VALUE"""),45797.0)</f>
        <v>45797</v>
      </c>
      <c r="G12" s="408"/>
      <c r="H12" s="408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</row>
    <row r="13" ht="22.5" customHeight="1">
      <c r="A13" s="404" t="str">
        <f>IFERROR(__xludf.DUMMYFUNCTION("""COMPUTED_VALUE"""),"Demolition Robot")</f>
        <v>Demolition Robot</v>
      </c>
      <c r="B13" s="405" t="str">
        <f>IFERROR(__xludf.DUMMYFUNCTION("""COMPUTED_VALUE"""),"BM 100 - 921505")</f>
        <v>BM 100 - 921505</v>
      </c>
      <c r="C13" s="406">
        <f>IFERROR(__xludf.DUMMYFUNCTION("""COMPUTED_VALUE"""),2020.0)</f>
        <v>2020</v>
      </c>
      <c r="D13" s="407">
        <f>IFERROR(__xludf.DUMMYFUNCTION("""COMPUTED_VALUE"""),45869.0)</f>
        <v>45869</v>
      </c>
      <c r="E13" s="405">
        <f>IFERROR(__xludf.DUMMYFUNCTION("""COMPUTED_VALUE"""),-369.0)</f>
        <v>-369</v>
      </c>
      <c r="F13" s="409">
        <f>IFERROR(__xludf.DUMMYFUNCTION("""COMPUTED_VALUE"""),45852.0)</f>
        <v>45852</v>
      </c>
      <c r="G13" s="408" t="str">
        <f>IFERROR(__xludf.DUMMYFUNCTION("""COMPUTED_VALUE"""),"PT Vale Indonesia")</f>
        <v>PT Vale Indonesia</v>
      </c>
      <c r="H13" s="408" t="str">
        <f>IFERROR(__xludf.DUMMYFUNCTION("""COMPUTED_VALUE"""),"Under Process by AKM
Submit disnaker 28 Oct 2025")</f>
        <v>Under Process by AKM
Submit disnaker 28 Oct 2025</v>
      </c>
      <c r="I13" s="411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</row>
    <row r="14" ht="22.5" customHeight="1">
      <c r="A14" s="404" t="str">
        <f>IFERROR(__xludf.DUMMYFUNCTION("""COMPUTED_VALUE"""),"Demolition Robot")</f>
        <v>Demolition Robot</v>
      </c>
      <c r="B14" s="405" t="str">
        <f>IFERROR(__xludf.DUMMYFUNCTION("""COMPUTED_VALUE"""),"BM 250 - 910745")</f>
        <v>BM 250 - 910745</v>
      </c>
      <c r="C14" s="406">
        <f>IFERROR(__xludf.DUMMYFUNCTION("""COMPUTED_VALUE"""),2000.0)</f>
        <v>2000</v>
      </c>
      <c r="D14" s="407">
        <f>IFERROR(__xludf.DUMMYFUNCTION("""COMPUTED_VALUE"""),45869.0)</f>
        <v>45869</v>
      </c>
      <c r="E14" s="405">
        <f>IFERROR(__xludf.DUMMYFUNCTION("""COMPUTED_VALUE"""),-369.0)</f>
        <v>-369</v>
      </c>
      <c r="F14" s="409">
        <f>IFERROR(__xludf.DUMMYFUNCTION("""COMPUTED_VALUE"""),45852.0)</f>
        <v>45852</v>
      </c>
      <c r="G14" s="406"/>
      <c r="H14" s="408" t="str">
        <f>IFERROR(__xludf.DUMMYFUNCTION("""COMPUTED_VALUE"""),"Under Process by AKM
Submit disnaker 28 Oct 2025")</f>
        <v>Under Process by AKM
Submit disnaker 28 Oct 2025</v>
      </c>
      <c r="I14" s="411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</row>
    <row r="15" ht="22.5" customHeight="1">
      <c r="A15" s="404" t="str">
        <f>IFERROR(__xludf.DUMMYFUNCTION("""COMPUTED_VALUE"""),"Demolition Robot")</f>
        <v>Demolition Robot</v>
      </c>
      <c r="B15" s="405" t="str">
        <f>IFERROR(__xludf.DUMMYFUNCTION("""COMPUTED_VALUE"""),"BM 250 - 910773")</f>
        <v>BM 250 - 910773</v>
      </c>
      <c r="C15" s="406">
        <f>IFERROR(__xludf.DUMMYFUNCTION("""COMPUTED_VALUE"""),2001.0)</f>
        <v>2001</v>
      </c>
      <c r="D15" s="407">
        <f>IFERROR(__xludf.DUMMYFUNCTION("""COMPUTED_VALUE"""),45869.0)</f>
        <v>45869</v>
      </c>
      <c r="E15" s="405">
        <f>IFERROR(__xludf.DUMMYFUNCTION("""COMPUTED_VALUE"""),-369.0)</f>
        <v>-369</v>
      </c>
      <c r="F15" s="409">
        <f>IFERROR(__xludf.DUMMYFUNCTION("""COMPUTED_VALUE"""),45852.0)</f>
        <v>45852</v>
      </c>
      <c r="G15" s="406"/>
      <c r="H15" s="408" t="str">
        <f>IFERROR(__xludf.DUMMYFUNCTION("""COMPUTED_VALUE"""),"Under Process by AKM
Submit disnaker 28 Oct 2025")</f>
        <v>Under Process by AKM
Submit disnaker 28 Oct 2025</v>
      </c>
      <c r="I15" s="411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</row>
    <row r="16" ht="22.5" customHeight="1">
      <c r="A16" s="404" t="str">
        <f>IFERROR(__xludf.DUMMYFUNCTION("""COMPUTED_VALUE"""),"Skid Steer")</f>
        <v>Skid Steer</v>
      </c>
      <c r="B16" s="405" t="str">
        <f>IFERROR(__xludf.DUMMYFUNCTION("""COMPUTED_VALUE"""),"Case - JAFSR200CJM455350")</f>
        <v>Case - JAFSR200CJM455350</v>
      </c>
      <c r="C16" s="406">
        <f>IFERROR(__xludf.DUMMYFUNCTION("""COMPUTED_VALUE"""),2020.0)</f>
        <v>2020</v>
      </c>
      <c r="D16" s="407">
        <f>IFERROR(__xludf.DUMMYFUNCTION("""COMPUTED_VALUE"""),45869.0)</f>
        <v>45869</v>
      </c>
      <c r="E16" s="405">
        <f>IFERROR(__xludf.DUMMYFUNCTION("""COMPUTED_VALUE"""),-369.0)</f>
        <v>-369</v>
      </c>
      <c r="F16" s="409">
        <f>IFERROR(__xludf.DUMMYFUNCTION("""COMPUTED_VALUE"""),45852.0)</f>
        <v>45852</v>
      </c>
      <c r="G16" s="406"/>
      <c r="H16" s="408" t="str">
        <f>IFERROR(__xludf.DUMMYFUNCTION("""COMPUTED_VALUE"""),"Under Process by AKM
28-10-2025")</f>
        <v>Under Process by AKM
28-10-2025</v>
      </c>
      <c r="I16" s="411"/>
      <c r="J16" s="411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</row>
    <row r="17" ht="22.5" customHeight="1">
      <c r="A17" s="404" t="str">
        <f>IFERROR(__xludf.DUMMYFUNCTION("""COMPUTED_VALUE"""),"Demolition Robot")</f>
        <v>Demolition Robot</v>
      </c>
      <c r="B17" s="405" t="str">
        <f>IFERROR(__xludf.DUMMYFUNCTION("""COMPUTED_VALUE"""),"BM 250T - 910645")</f>
        <v>BM 250T - 910645</v>
      </c>
      <c r="C17" s="406">
        <f>IFERROR(__xludf.DUMMYFUNCTION("""COMPUTED_VALUE"""),2000.0)</f>
        <v>2000</v>
      </c>
      <c r="D17" s="407">
        <f>IFERROR(__xludf.DUMMYFUNCTION("""COMPUTED_VALUE"""),45888.0)</f>
        <v>45888</v>
      </c>
      <c r="E17" s="405">
        <f>IFERROR(__xludf.DUMMYFUNCTION("""COMPUTED_VALUE"""),-350.0)</f>
        <v>-350</v>
      </c>
      <c r="F17" s="409">
        <f>IFERROR(__xludf.DUMMYFUNCTION("""COMPUTED_VALUE"""),45873.0)</f>
        <v>45873</v>
      </c>
      <c r="G17" s="406"/>
      <c r="H17" s="408" t="str">
        <f>IFERROR(__xludf.DUMMYFUNCTION("""COMPUTED_VALUE"""),"Under Process by AKM
Submit disnaker 2 Des 2025")</f>
        <v>Under Process by AKM
Submit disnaker 2 Des 2025</v>
      </c>
      <c r="I17" s="411"/>
      <c r="J17" s="411"/>
      <c r="K17" s="411"/>
      <c r="L17" s="411"/>
      <c r="M17" s="411"/>
      <c r="N17" s="411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</row>
    <row r="18" ht="22.5" customHeight="1">
      <c r="A18" s="404" t="str">
        <f>IFERROR(__xludf.DUMMYFUNCTION("""COMPUTED_VALUE"""),"Demolition Robot")</f>
        <v>Demolition Robot</v>
      </c>
      <c r="B18" s="405" t="str">
        <f>IFERROR(__xludf.DUMMYFUNCTION("""COMPUTED_VALUE"""),"BM 330 - 980635")</f>
        <v>BM 330 - 980635</v>
      </c>
      <c r="C18" s="406">
        <f>IFERROR(__xludf.DUMMYFUNCTION("""COMPUTED_VALUE"""),2009.0)</f>
        <v>2009</v>
      </c>
      <c r="D18" s="407">
        <f>IFERROR(__xludf.DUMMYFUNCTION("""COMPUTED_VALUE"""),45888.0)</f>
        <v>45888</v>
      </c>
      <c r="E18" s="405">
        <f>IFERROR(__xludf.DUMMYFUNCTION("""COMPUTED_VALUE"""),-350.0)</f>
        <v>-350</v>
      </c>
      <c r="F18" s="409">
        <f>IFERROR(__xludf.DUMMYFUNCTION("""COMPUTED_VALUE"""),45873.0)</f>
        <v>45873</v>
      </c>
      <c r="G18" s="406"/>
      <c r="H18" s="408" t="str">
        <f>IFERROR(__xludf.DUMMYFUNCTION("""COMPUTED_VALUE"""),"Under Process by AKM
Submit disnaker 2 Des 2025")</f>
        <v>Under Process by AKM
Submit disnaker 2 Des 2025</v>
      </c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</row>
    <row r="19" ht="22.5" customHeight="1">
      <c r="A19" s="404" t="str">
        <f>IFERROR(__xludf.DUMMYFUNCTION("""COMPUTED_VALUE"""),"Forklift")</f>
        <v>Forklift</v>
      </c>
      <c r="B19" s="405" t="str">
        <f>IFERROR(__xludf.DUMMYFUNCTION("""COMPUTED_VALUE"""),"3 Ton - CF14E-18224")</f>
        <v>3 Ton - CF14E-18224</v>
      </c>
      <c r="C19" s="406">
        <f>IFERROR(__xludf.DUMMYFUNCTION("""COMPUTED_VALUE"""),2018.0)</f>
        <v>2018</v>
      </c>
      <c r="D19" s="407">
        <f>IFERROR(__xludf.DUMMYFUNCTION("""COMPUTED_VALUE"""),45911.0)</f>
        <v>45911</v>
      </c>
      <c r="E19" s="405">
        <f>IFERROR(__xludf.DUMMYFUNCTION("""COMPUTED_VALUE"""),-327.0)</f>
        <v>-327</v>
      </c>
      <c r="F19" s="406"/>
      <c r="G19" s="408" t="str">
        <f>IFERROR(__xludf.DUMMYFUNCTION("""COMPUTED_VALUE"""),"PT Antam")</f>
        <v>PT Antam</v>
      </c>
      <c r="H19" s="408" t="str">
        <f>IFERROR(__xludf.DUMMYFUNCTION("""COMPUTED_VALUE"""),"Under Process by AKM
Submit disnaker 3 Nov 2025")</f>
        <v>Under Process by AKM
Submit disnaker 3 Nov 2025</v>
      </c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</row>
    <row r="20" ht="22.5" customHeight="1">
      <c r="A20" s="404" t="str">
        <f>IFERROR(__xludf.DUMMYFUNCTION("""COMPUTED_VALUE"""),"Forklift")</f>
        <v>Forklift</v>
      </c>
      <c r="B20" s="405" t="str">
        <f>IFERROR(__xludf.DUMMYFUNCTION("""COMPUTED_VALUE"""),"3 Ton - CF51-10224")</f>
        <v>3 Ton - CF51-10224</v>
      </c>
      <c r="C20" s="406">
        <f>IFERROR(__xludf.DUMMYFUNCTION("""COMPUTED_VALUE"""),2014.0)</f>
        <v>2014</v>
      </c>
      <c r="D20" s="407">
        <f>IFERROR(__xludf.DUMMYFUNCTION("""COMPUTED_VALUE"""),45911.0)</f>
        <v>45911</v>
      </c>
      <c r="E20" s="405">
        <f>IFERROR(__xludf.DUMMYFUNCTION("""COMPUTED_VALUE"""),-327.0)</f>
        <v>-327</v>
      </c>
      <c r="F20" s="406"/>
      <c r="G20" s="406"/>
      <c r="H20" s="408" t="str">
        <f>IFERROR(__xludf.DUMMYFUNCTION("""COMPUTED_VALUE"""),"Under Process by AKM
Submit disnaker 3 Nov 2025")</f>
        <v>Under Process by AKM
Submit disnaker 3 Nov 2025</v>
      </c>
      <c r="I20" s="411"/>
      <c r="J20" s="411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</row>
    <row r="21" ht="22.5" customHeight="1">
      <c r="A21" s="404" t="str">
        <f>IFERROR(__xludf.DUMMYFUNCTION("""COMPUTED_VALUE"""),"Forklift")</f>
        <v>Forklift</v>
      </c>
      <c r="B21" s="405" t="str">
        <f>IFERROR(__xludf.DUMMYFUNCTION("""COMPUTED_VALUE"""),"3 Ton - CF51-12409")</f>
        <v>3 Ton - CF51-12409</v>
      </c>
      <c r="C21" s="406">
        <f>IFERROR(__xludf.DUMMYFUNCTION("""COMPUTED_VALUE"""),2021.0)</f>
        <v>2021</v>
      </c>
      <c r="D21" s="407">
        <f>IFERROR(__xludf.DUMMYFUNCTION("""COMPUTED_VALUE"""),45911.0)</f>
        <v>45911</v>
      </c>
      <c r="E21" s="405">
        <f>IFERROR(__xludf.DUMMYFUNCTION("""COMPUTED_VALUE"""),-327.0)</f>
        <v>-327</v>
      </c>
      <c r="F21" s="406"/>
      <c r="G21" s="408" t="str">
        <f>IFERROR(__xludf.DUMMYFUNCTION("""COMPUTED_VALUE"""),"Workshop Aldzama")</f>
        <v>Workshop Aldzama</v>
      </c>
      <c r="H21" s="408" t="str">
        <f>IFERROR(__xludf.DUMMYFUNCTION("""COMPUTED_VALUE"""),"Under Process by AKM
Submit disnaker 3 Nov 2025")</f>
        <v>Under Process by AKM
Submit disnaker 3 Nov 2025</v>
      </c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</row>
    <row r="22" ht="22.5" customHeight="1">
      <c r="A22" s="404" t="str">
        <f>IFERROR(__xludf.DUMMYFUNCTION("""COMPUTED_VALUE"""),"Forklift")</f>
        <v>Forklift</v>
      </c>
      <c r="B22" s="405" t="str">
        <f>IFERROR(__xludf.DUMMYFUNCTION("""COMPUTED_VALUE"""),"3 Ton - CF51-12585")</f>
        <v>3 Ton - CF51-12585</v>
      </c>
      <c r="C22" s="406">
        <f>IFERROR(__xludf.DUMMYFUNCTION("""COMPUTED_VALUE"""),2022.0)</f>
        <v>2022</v>
      </c>
      <c r="D22" s="407">
        <f>IFERROR(__xludf.DUMMYFUNCTION("""COMPUTED_VALUE"""),45911.0)</f>
        <v>45911</v>
      </c>
      <c r="E22" s="405">
        <f>IFERROR(__xludf.DUMMYFUNCTION("""COMPUTED_VALUE"""),-327.0)</f>
        <v>-327</v>
      </c>
      <c r="F22" s="406"/>
      <c r="G22" s="406"/>
      <c r="H22" s="408" t="str">
        <f>IFERROR(__xludf.DUMMYFUNCTION("""COMPUTED_VALUE"""),"Under Process by AKM
Submit disnaker 3 Nov 2025")</f>
        <v>Under Process by AKM
Submit disnaker 3 Nov 2025</v>
      </c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</row>
    <row r="23" ht="22.5" customHeight="1">
      <c r="A23" s="404" t="str">
        <f>IFERROR(__xludf.DUMMYFUNCTION("""COMPUTED_VALUE"""),"Skid Steer")</f>
        <v>Skid Steer</v>
      </c>
      <c r="B23" s="405" t="str">
        <f>IFERROR(__xludf.DUMMYFUNCTION("""COMPUTED_VALUE"""),"Bobcat - 510126567")</f>
        <v>Bobcat - 510126567</v>
      </c>
      <c r="C23" s="406">
        <f>IFERROR(__xludf.DUMMYFUNCTION("""COMPUTED_VALUE"""),1997.0)</f>
        <v>1997</v>
      </c>
      <c r="D23" s="407">
        <f>IFERROR(__xludf.DUMMYFUNCTION("""COMPUTED_VALUE"""),45911.0)</f>
        <v>45911</v>
      </c>
      <c r="E23" s="405">
        <f>IFERROR(__xludf.DUMMYFUNCTION("""COMPUTED_VALUE"""),-327.0)</f>
        <v>-327</v>
      </c>
      <c r="F23" s="406"/>
      <c r="G23" s="406"/>
      <c r="H23" s="408" t="str">
        <f>IFERROR(__xludf.DUMMYFUNCTION("""COMPUTED_VALUE"""),"Under Process by AKM
Submit disnaker 3 Nov 2025")</f>
        <v>Under Process by AKM
Submit disnaker 3 Nov 2025</v>
      </c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</row>
    <row r="24" ht="22.5" customHeight="1">
      <c r="A24" s="404" t="str">
        <f>IFERROR(__xludf.DUMMYFUNCTION("""COMPUTED_VALUE"""),"Telehandler")</f>
        <v>Telehandler</v>
      </c>
      <c r="B24" s="405" t="str">
        <f>IFERROR(__xludf.DUMMYFUNCTION("""COMPUTED_VALUE"""),"CF51-12955")</f>
        <v>CF51-12955</v>
      </c>
      <c r="C24" s="406">
        <f>IFERROR(__xludf.DUMMYFUNCTION("""COMPUTED_VALUE"""),2023.0)</f>
        <v>2023</v>
      </c>
      <c r="D24" s="407">
        <f>IFERROR(__xludf.DUMMYFUNCTION("""COMPUTED_VALUE"""),45927.0)</f>
        <v>45927</v>
      </c>
      <c r="E24" s="405">
        <f>IFERROR(__xludf.DUMMYFUNCTION("""COMPUTED_VALUE"""),-311.0)</f>
        <v>-311</v>
      </c>
      <c r="F24" s="409">
        <f>IFERROR(__xludf.DUMMYFUNCTION("""COMPUTED_VALUE"""),45908.0)</f>
        <v>45908</v>
      </c>
      <c r="G24" s="408" t="str">
        <f>IFERROR(__xludf.DUMMYFUNCTION("""COMPUTED_VALUE"""),"expired / PT Antam")</f>
        <v>expired / PT Antam</v>
      </c>
      <c r="H24" s="406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</row>
    <row r="25" ht="22.5" customHeight="1">
      <c r="A25" s="404" t="str">
        <f>IFERROR(__xludf.DUMMYFUNCTION("""COMPUTED_VALUE"""),"Skid Steer")</f>
        <v>Skid Steer</v>
      </c>
      <c r="B25" s="405" t="str">
        <f>IFERROR(__xludf.DUMMYFUNCTION("""COMPUTED_VALUE"""),"Bobcat - B1ED14906")</f>
        <v>Bobcat - B1ED14906</v>
      </c>
      <c r="C25" s="406">
        <f>IFERROR(__xludf.DUMMYFUNCTION("""COMPUTED_VALUE"""),2023.0)</f>
        <v>2023</v>
      </c>
      <c r="D25" s="407">
        <f>IFERROR(__xludf.DUMMYFUNCTION("""COMPUTED_VALUE"""),45929.0)</f>
        <v>45929</v>
      </c>
      <c r="E25" s="405">
        <f>IFERROR(__xludf.DUMMYFUNCTION("""COMPUTED_VALUE"""),-309.0)</f>
        <v>-309</v>
      </c>
      <c r="F25" s="409">
        <f>IFERROR(__xludf.DUMMYFUNCTION("""COMPUTED_VALUE"""),45908.0)</f>
        <v>45908</v>
      </c>
      <c r="G25" s="408" t="str">
        <f>IFERROR(__xludf.DUMMYFUNCTION("""COMPUTED_VALUE"""),"expired")</f>
        <v>expired</v>
      </c>
      <c r="H25" s="406" t="str">
        <f>IFERROR(__xludf.DUMMYFUNCTION("""COMPUTED_VALUE"""),"Under Process by AKM")</f>
        <v>Under Process by AKM</v>
      </c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</row>
    <row r="26" ht="22.5" customHeight="1">
      <c r="A26" s="404" t="str">
        <f>IFERROR(__xludf.DUMMYFUNCTION("""COMPUTED_VALUE"""),"Demolition Robot")</f>
        <v>Demolition Robot</v>
      </c>
      <c r="B26" s="405" t="str">
        <f>IFERROR(__xludf.DUMMYFUNCTION("""COMPUTED_VALUE"""),"BM 200 - 951157")</f>
        <v>BM 200 - 951157</v>
      </c>
      <c r="C26" s="406">
        <f>IFERROR(__xludf.DUMMYFUNCTION("""COMPUTED_VALUE"""),2019.0)</f>
        <v>2019</v>
      </c>
      <c r="D26" s="407">
        <f>IFERROR(__xludf.DUMMYFUNCTION("""COMPUTED_VALUE"""),45948.0)</f>
        <v>45948</v>
      </c>
      <c r="E26" s="405">
        <f>IFERROR(__xludf.DUMMYFUNCTION("""COMPUTED_VALUE"""),-290.0)</f>
        <v>-290</v>
      </c>
      <c r="F26" s="409">
        <f>IFERROR(__xludf.DUMMYFUNCTION("""COMPUTED_VALUE"""),45931.0)</f>
        <v>45931</v>
      </c>
      <c r="G26" s="408" t="str">
        <f>IFERROR(__xludf.DUMMYFUNCTION("""COMPUTED_VALUE"""),"PT Antam")</f>
        <v>PT Antam</v>
      </c>
      <c r="H26" s="408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</row>
    <row r="27" ht="22.5" customHeight="1">
      <c r="A27" s="404" t="str">
        <f>IFERROR(__xludf.DUMMYFUNCTION("""COMPUTED_VALUE"""),"Demolition Robot")</f>
        <v>Demolition Robot</v>
      </c>
      <c r="B27" s="405" t="str">
        <f>IFERROR(__xludf.DUMMYFUNCTION("""COMPUTED_VALUE"""),"BM 180 - 170348")</f>
        <v>BM 180 - 170348</v>
      </c>
      <c r="C27" s="406">
        <f>IFERROR(__xludf.DUMMYFUNCTION("""COMPUTED_VALUE"""),2004.0)</f>
        <v>2004</v>
      </c>
      <c r="D27" s="407">
        <f>IFERROR(__xludf.DUMMYFUNCTION("""COMPUTED_VALUE"""),45953.0)</f>
        <v>45953</v>
      </c>
      <c r="E27" s="405">
        <f>IFERROR(__xludf.DUMMYFUNCTION("""COMPUTED_VALUE"""),-285.0)</f>
        <v>-285</v>
      </c>
      <c r="F27" s="409">
        <f>IFERROR(__xludf.DUMMYFUNCTION("""COMPUTED_VALUE"""),45931.0)</f>
        <v>45931</v>
      </c>
      <c r="G27" s="406"/>
      <c r="H27" s="408"/>
      <c r="I27" s="411"/>
      <c r="J27" s="411"/>
      <c r="K27" s="411"/>
      <c r="L27" s="411"/>
      <c r="M27" s="411"/>
      <c r="N27" s="411"/>
      <c r="O27" s="411"/>
      <c r="P27" s="411"/>
      <c r="Q27" s="411"/>
      <c r="R27" s="411"/>
      <c r="S27" s="411"/>
      <c r="T27" s="411"/>
      <c r="U27" s="411"/>
      <c r="V27" s="411"/>
      <c r="W27" s="411"/>
      <c r="X27" s="411"/>
      <c r="Y27" s="411"/>
      <c r="Z27" s="411"/>
    </row>
    <row r="28" ht="22.5" customHeight="1">
      <c r="A28" s="404" t="str">
        <f>IFERROR(__xludf.DUMMYFUNCTION("""COMPUTED_VALUE"""),"Demolition Robot")</f>
        <v>Demolition Robot</v>
      </c>
      <c r="B28" s="405" t="str">
        <f>IFERROR(__xludf.DUMMYFUNCTION("""COMPUTED_VALUE"""),"BM 330 - 980367")</f>
        <v>BM 330 - 980367</v>
      </c>
      <c r="C28" s="406">
        <f>IFERROR(__xludf.DUMMYFUNCTION("""COMPUTED_VALUE"""),2005.0)</f>
        <v>2005</v>
      </c>
      <c r="D28" s="407">
        <f>IFERROR(__xludf.DUMMYFUNCTION("""COMPUTED_VALUE"""),45953.0)</f>
        <v>45953</v>
      </c>
      <c r="E28" s="405">
        <f>IFERROR(__xludf.DUMMYFUNCTION("""COMPUTED_VALUE"""),-285.0)</f>
        <v>-285</v>
      </c>
      <c r="F28" s="409">
        <f>IFERROR(__xludf.DUMMYFUNCTION("""COMPUTED_VALUE"""),45931.0)</f>
        <v>45931</v>
      </c>
      <c r="G28" s="406"/>
      <c r="H28" s="408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</row>
    <row r="29" ht="22.5" customHeight="1">
      <c r="A29" s="404" t="str">
        <f>IFERROR(__xludf.DUMMYFUNCTION("""COMPUTED_VALUE"""),"Vacuum Truck")</f>
        <v>Vacuum Truck</v>
      </c>
      <c r="B29" s="405" t="str">
        <f>IFERROR(__xludf.DUMMYFUNCTION("""COMPUTED_VALUE"""),"Megavac - 21196")</f>
        <v>Megavac - 21196</v>
      </c>
      <c r="C29" s="406">
        <f>IFERROR(__xludf.DUMMYFUNCTION("""COMPUTED_VALUE"""),2012.0)</f>
        <v>2012</v>
      </c>
      <c r="D29" s="407">
        <f>IFERROR(__xludf.DUMMYFUNCTION("""COMPUTED_VALUE"""),46002.0)</f>
        <v>46002</v>
      </c>
      <c r="E29" s="405">
        <f>IFERROR(__xludf.DUMMYFUNCTION("""COMPUTED_VALUE"""),-236.0)</f>
        <v>-236</v>
      </c>
      <c r="F29" s="409">
        <f>IFERROR(__xludf.DUMMYFUNCTION("""COMPUTED_VALUE"""),45992.0)</f>
        <v>45992</v>
      </c>
      <c r="G29" s="408" t="str">
        <f>IFERROR(__xludf.DUMMYFUNCTION("""COMPUTED_VALUE"""),"PT Antam - Vacuum Truck")</f>
        <v>PT Antam - Vacuum Truck</v>
      </c>
      <c r="H29" s="406" t="str">
        <f>IFERROR(__xludf.DUMMYFUNCTION("""COMPUTED_VALUE"""),"Under Process by AKM")</f>
        <v>Under Process by AKM</v>
      </c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  <c r="U29" s="411"/>
      <c r="V29" s="411"/>
      <c r="W29" s="411"/>
      <c r="X29" s="411"/>
      <c r="Y29" s="411"/>
      <c r="Z29" s="411"/>
    </row>
    <row r="30" ht="22.5" customHeight="1">
      <c r="A30" s="404" t="str">
        <f>IFERROR(__xludf.DUMMYFUNCTION("""COMPUTED_VALUE"""),"Demolition Robot")</f>
        <v>Demolition Robot</v>
      </c>
      <c r="B30" s="405" t="str">
        <f>IFERROR(__xludf.DUMMYFUNCTION("""COMPUTED_VALUE"""),"BM 110 - 923273")</f>
        <v>BM 110 - 923273</v>
      </c>
      <c r="C30" s="406">
        <f>IFERROR(__xludf.DUMMYFUNCTION("""COMPUTED_VALUE"""),2023.0)</f>
        <v>2023</v>
      </c>
      <c r="D30" s="407">
        <f>IFERROR(__xludf.DUMMYFUNCTION("""COMPUTED_VALUE"""),46033.0)</f>
        <v>46033</v>
      </c>
      <c r="E30" s="405">
        <f>IFERROR(__xludf.DUMMYFUNCTION("""COMPUTED_VALUE"""),-205.0)</f>
        <v>-205</v>
      </c>
      <c r="F30" s="406"/>
      <c r="G30" s="408" t="str">
        <f>IFERROR(__xludf.DUMMYFUNCTION("""COMPUTED_VALUE"""),"PTFI - Refractory Routine Maintenance")</f>
        <v>PTFI - Refractory Routine Maintenance</v>
      </c>
      <c r="H30" s="406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</row>
    <row r="31" ht="22.5" customHeight="1">
      <c r="A31" s="404" t="str">
        <f>IFERROR(__xludf.DUMMYFUNCTION("""COMPUTED_VALUE"""),"Demolition Robot")</f>
        <v>Demolition Robot</v>
      </c>
      <c r="B31" s="405" t="str">
        <f>IFERROR(__xludf.DUMMYFUNCTION("""COMPUTED_VALUE"""),"HCR120D - P0202304010")</f>
        <v>HCR120D - P0202304010</v>
      </c>
      <c r="C31" s="406">
        <f>IFERROR(__xludf.DUMMYFUNCTION("""COMPUTED_VALUE"""),2022.0)</f>
        <v>2022</v>
      </c>
      <c r="D31" s="407">
        <f>IFERROR(__xludf.DUMMYFUNCTION("""COMPUTED_VALUE"""),46033.0)</f>
        <v>46033</v>
      </c>
      <c r="E31" s="405">
        <f>IFERROR(__xludf.DUMMYFUNCTION("""COMPUTED_VALUE"""),-205.0)</f>
        <v>-205</v>
      </c>
      <c r="F31" s="406"/>
      <c r="G31" s="408" t="str">
        <f>IFERROR(__xludf.DUMMYFUNCTION("""COMPUTED_VALUE"""),"PT Vale")</f>
        <v>PT Vale</v>
      </c>
      <c r="H31" s="406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411"/>
      <c r="Y31" s="411"/>
      <c r="Z31" s="411"/>
    </row>
    <row r="32" ht="22.5" customHeight="1">
      <c r="A32" s="404" t="str">
        <f>IFERROR(__xludf.DUMMYFUNCTION("""COMPUTED_VALUE"""),"Skid Steer")</f>
        <v>Skid Steer</v>
      </c>
      <c r="B32" s="405" t="str">
        <f>IFERROR(__xludf.DUMMYFUNCTION("""COMPUTED_VALUE"""),"Bobcat - B1ED14980")</f>
        <v>Bobcat - B1ED14980</v>
      </c>
      <c r="C32" s="406">
        <f>IFERROR(__xludf.DUMMYFUNCTION("""COMPUTED_VALUE"""),2023.0)</f>
        <v>2023</v>
      </c>
      <c r="D32" s="407">
        <f>IFERROR(__xludf.DUMMYFUNCTION("""COMPUTED_VALUE"""),46040.0)</f>
        <v>46040</v>
      </c>
      <c r="E32" s="405">
        <f>IFERROR(__xludf.DUMMYFUNCTION("""COMPUTED_VALUE"""),-198.0)</f>
        <v>-198</v>
      </c>
      <c r="F32" s="406"/>
      <c r="G32" s="406"/>
      <c r="H32" s="406" t="str">
        <f>IFERROR(__xludf.DUMMYFUNCTION("""COMPUTED_VALUE"""),"Under Process by AKM")</f>
        <v>Under Process by AKM</v>
      </c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</row>
    <row r="33" ht="22.5" customHeight="1">
      <c r="A33" s="404" t="str">
        <f>IFERROR(__xludf.DUMMYFUNCTION("""COMPUTED_VALUE"""),"Over Head Crane")</f>
        <v>Over Head Crane</v>
      </c>
      <c r="B33" s="405" t="str">
        <f>IFERROR(__xludf.DUMMYFUNCTION("""COMPUTED_VALUE"""),"KN04240110101")</f>
        <v>KN04240110101</v>
      </c>
      <c r="C33" s="406">
        <f>IFERROR(__xludf.DUMMYFUNCTION("""COMPUTED_VALUE"""),2024.0)</f>
        <v>2024</v>
      </c>
      <c r="D33" s="407">
        <f>IFERROR(__xludf.DUMMYFUNCTION("""COMPUTED_VALUE"""),46064.0)</f>
        <v>46064</v>
      </c>
      <c r="E33" s="405">
        <f>IFERROR(__xludf.DUMMYFUNCTION("""COMPUTED_VALUE"""),-174.0)</f>
        <v>-174</v>
      </c>
      <c r="F33" s="406"/>
      <c r="G33" s="408" t="str">
        <f>IFERROR(__xludf.DUMMYFUNCTION("""COMPUTED_VALUE"""),"Workshop Aldzama")</f>
        <v>Workshop Aldzama</v>
      </c>
      <c r="H33" s="408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</row>
    <row r="34" ht="22.5" customHeight="1">
      <c r="A34" s="404" t="str">
        <f>IFERROR(__xludf.DUMMYFUNCTION("""COMPUTED_VALUE"""),"Skid Steer")</f>
        <v>Skid Steer</v>
      </c>
      <c r="B34" s="405" t="str">
        <f>IFERROR(__xludf.DUMMYFUNCTION("""COMPUTED_VALUE"""),"Sigma - XC740K")</f>
        <v>Sigma - XC740K</v>
      </c>
      <c r="C34" s="406">
        <f>IFERROR(__xludf.DUMMYFUNCTION("""COMPUTED_VALUE"""),2022.0)</f>
        <v>2022</v>
      </c>
      <c r="D34" s="407">
        <f>IFERROR(__xludf.DUMMYFUNCTION("""COMPUTED_VALUE"""),46079.0)</f>
        <v>46079</v>
      </c>
      <c r="E34" s="405">
        <f>IFERROR(__xludf.DUMMYFUNCTION("""COMPUTED_VALUE"""),-159.0)</f>
        <v>-159</v>
      </c>
      <c r="F34" s="406"/>
      <c r="G34" s="406"/>
      <c r="H34" s="406" t="str">
        <f>IFERROR(__xludf.DUMMYFUNCTION("""COMPUTED_VALUE"""),"Under Process by AKM")</f>
        <v>Under Process by AKM</v>
      </c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  <c r="Z34" s="411"/>
    </row>
    <row r="35" ht="22.5" customHeight="1">
      <c r="A35" s="404" t="str">
        <f>IFERROR(__xludf.DUMMYFUNCTION("""COMPUTED_VALUE"""),"Forklift")</f>
        <v>Forklift</v>
      </c>
      <c r="B35" s="405" t="str">
        <f>IFERROR(__xludf.DUMMYFUNCTION("""COMPUTED_VALUE"""),"1 Ton - FSVE61")</f>
        <v>1 Ton - FSVE61</v>
      </c>
      <c r="C35" s="406">
        <f>IFERROR(__xludf.DUMMYFUNCTION("""COMPUTED_VALUE"""),2023.0)</f>
        <v>2023</v>
      </c>
      <c r="D35" s="407">
        <f>IFERROR(__xludf.DUMMYFUNCTION("""COMPUTED_VALUE"""),46104.0)</f>
        <v>46104</v>
      </c>
      <c r="E35" s="405">
        <f>IFERROR(__xludf.DUMMYFUNCTION("""COMPUTED_VALUE"""),-134.0)</f>
        <v>-134</v>
      </c>
      <c r="F35" s="409"/>
      <c r="G35" s="408" t="str">
        <f>IFERROR(__xludf.DUMMYFUNCTION("""COMPUTED_VALUE"""),"Workshop Aldzama")</f>
        <v>Workshop Aldzama</v>
      </c>
      <c r="H35" s="406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</row>
    <row r="36" ht="22.5" customHeight="1">
      <c r="A36" s="404" t="str">
        <f>IFERROR(__xludf.DUMMYFUNCTION("""COMPUTED_VALUE"""),"Forklift")</f>
        <v>Forklift</v>
      </c>
      <c r="B36" s="405" t="str">
        <f>IFERROR(__xludf.DUMMYFUNCTION("""COMPUTED_VALUE"""),"3 Ton - CT14E-23258")</f>
        <v>3 Ton - CT14E-23258</v>
      </c>
      <c r="C36" s="406">
        <f>IFERROR(__xludf.DUMMYFUNCTION("""COMPUTED_VALUE"""),2022.0)</f>
        <v>2022</v>
      </c>
      <c r="D36" s="407">
        <f>IFERROR(__xludf.DUMMYFUNCTION("""COMPUTED_VALUE"""),46104.0)</f>
        <v>46104</v>
      </c>
      <c r="E36" s="405">
        <f>IFERROR(__xludf.DUMMYFUNCTION("""COMPUTED_VALUE"""),-134.0)</f>
        <v>-134</v>
      </c>
      <c r="F36" s="409"/>
      <c r="G36" s="408" t="str">
        <f>IFERROR(__xludf.DUMMYFUNCTION("""COMPUTED_VALUE"""),"PT Smelting")</f>
        <v>PT Smelting</v>
      </c>
      <c r="H36" s="406"/>
      <c r="I36" s="411"/>
      <c r="J36" s="411"/>
      <c r="K36" s="411"/>
      <c r="L36" s="411"/>
      <c r="M36" s="411"/>
      <c r="N36" s="411"/>
      <c r="O36" s="411"/>
      <c r="P36" s="411"/>
      <c r="Q36" s="411"/>
      <c r="R36" s="411"/>
      <c r="S36" s="411"/>
      <c r="T36" s="411"/>
      <c r="U36" s="411"/>
      <c r="V36" s="411"/>
      <c r="W36" s="411"/>
      <c r="X36" s="411"/>
      <c r="Y36" s="411"/>
      <c r="Z36" s="411"/>
    </row>
    <row r="37" ht="22.5" customHeight="1">
      <c r="A37" s="404" t="str">
        <f>IFERROR(__xludf.DUMMYFUNCTION("""COMPUTED_VALUE"""),"Demolition Robot")</f>
        <v>Demolition Robot</v>
      </c>
      <c r="B37" s="405" t="str">
        <f>IFERROR(__xludf.DUMMYFUNCTION("""COMPUTED_VALUE"""),"BM 300 - 912103")</f>
        <v>BM 300 - 912103</v>
      </c>
      <c r="C37" s="406">
        <f>IFERROR(__xludf.DUMMYFUNCTION("""COMPUTED_VALUE"""),2021.0)</f>
        <v>2021</v>
      </c>
      <c r="D37" s="407">
        <f>IFERROR(__xludf.DUMMYFUNCTION("""COMPUTED_VALUE"""),46106.0)</f>
        <v>46106</v>
      </c>
      <c r="E37" s="405">
        <f>IFERROR(__xludf.DUMMYFUNCTION("""COMPUTED_VALUE"""),-132.0)</f>
        <v>-132</v>
      </c>
      <c r="F37" s="409">
        <f>IFERROR(__xludf.DUMMYFUNCTION("""COMPUTED_VALUE"""),45726.0)</f>
        <v>45726</v>
      </c>
      <c r="G37" s="408" t="str">
        <f>IFERROR(__xludf.DUMMYFUNCTION("""COMPUTED_VALUE"""),"PTFI - Papua")</f>
        <v>PTFI - Papua</v>
      </c>
      <c r="H37" s="406"/>
      <c r="I37" s="411"/>
      <c r="J37" s="411"/>
      <c r="K37" s="411"/>
      <c r="L37" s="411"/>
      <c r="M37" s="411"/>
      <c r="N37" s="411"/>
      <c r="O37" s="411"/>
      <c r="P37" s="411"/>
      <c r="Q37" s="411"/>
      <c r="R37" s="411"/>
      <c r="S37" s="411"/>
      <c r="T37" s="411"/>
      <c r="U37" s="411"/>
      <c r="V37" s="411"/>
      <c r="W37" s="411"/>
      <c r="X37" s="411"/>
      <c r="Y37" s="411"/>
      <c r="Z37" s="411"/>
    </row>
    <row r="38" ht="22.5" customHeight="1">
      <c r="A38" s="404" t="str">
        <f>IFERROR(__xludf.DUMMYFUNCTION("""COMPUTED_VALUE"""),"Excavator")</f>
        <v>Excavator</v>
      </c>
      <c r="B38" s="405" t="str">
        <f>IFERROR(__xludf.DUMMYFUNCTION("""COMPUTED_VALUE"""),"Caterpillar - CAT00320ASYW00221")</f>
        <v>Caterpillar - CAT00320ASYW00221</v>
      </c>
      <c r="C38" s="406">
        <f>IFERROR(__xludf.DUMMYFUNCTION("""COMPUTED_VALUE"""),2021.0)</f>
        <v>2021</v>
      </c>
      <c r="D38" s="407">
        <f>IFERROR(__xludf.DUMMYFUNCTION("""COMPUTED_VALUE"""),46117.0)</f>
        <v>46117</v>
      </c>
      <c r="E38" s="405">
        <f>IFERROR(__xludf.DUMMYFUNCTION("""COMPUTED_VALUE"""),-121.0)</f>
        <v>-121</v>
      </c>
      <c r="F38" s="409"/>
      <c r="G38" s="408" t="str">
        <f>IFERROR(__xludf.DUMMYFUNCTION("""COMPUTED_VALUE"""),"PT Vale")</f>
        <v>PT Vale</v>
      </c>
      <c r="H38" s="406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1"/>
      <c r="X38" s="411"/>
      <c r="Y38" s="411"/>
      <c r="Z38" s="411"/>
    </row>
    <row r="39" ht="22.5" customHeight="1">
      <c r="A39" s="404" t="str">
        <f>IFERROR(__xludf.DUMMYFUNCTION("""COMPUTED_VALUE"""),"Excavator")</f>
        <v>Excavator</v>
      </c>
      <c r="B39" s="405" t="str">
        <f>IFERROR(__xludf.DUMMYFUNCTION("""COMPUTED_VALUE"""),"Sany - SY0208CBE0718")</f>
        <v>Sany - SY0208CBE0718</v>
      </c>
      <c r="C39" s="406">
        <f>IFERROR(__xludf.DUMMYFUNCTION("""COMPUTED_VALUE"""),2021.0)</f>
        <v>2021</v>
      </c>
      <c r="D39" s="407">
        <f>IFERROR(__xludf.DUMMYFUNCTION("""COMPUTED_VALUE"""),46117.0)</f>
        <v>46117</v>
      </c>
      <c r="E39" s="405">
        <f>IFERROR(__xludf.DUMMYFUNCTION("""COMPUTED_VALUE"""),-121.0)</f>
        <v>-121</v>
      </c>
      <c r="F39" s="409">
        <f>IFERROR(__xludf.DUMMYFUNCTION("""COMPUTED_VALUE"""),45733.0)</f>
        <v>45733</v>
      </c>
      <c r="G39" s="408" t="str">
        <f>IFERROR(__xludf.DUMMYFUNCTION("""COMPUTED_VALUE"""),"PTFI - Excavator &amp; Dump Truck")</f>
        <v>PTFI - Excavator &amp; Dump Truck</v>
      </c>
      <c r="H39" s="408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1"/>
      <c r="Z39" s="411"/>
    </row>
    <row r="40" ht="22.5" customHeight="1">
      <c r="A40" s="404" t="str">
        <f>IFERROR(__xludf.DUMMYFUNCTION("""COMPUTED_VALUE"""),"Excavator")</f>
        <v>Excavator</v>
      </c>
      <c r="B40" s="405" t="str">
        <f>IFERROR(__xludf.DUMMYFUNCTION("""COMPUTED_VALUE"""),"Caterpillar 2")</f>
        <v>Caterpillar 2</v>
      </c>
      <c r="C40" s="406"/>
      <c r="D40" s="407">
        <f>IFERROR(__xludf.DUMMYFUNCTION("""COMPUTED_VALUE"""),46137.0)</f>
        <v>46137</v>
      </c>
      <c r="E40" s="405">
        <f>IFERROR(__xludf.DUMMYFUNCTION("""COMPUTED_VALUE"""),-101.0)</f>
        <v>-101</v>
      </c>
      <c r="F40" s="406"/>
      <c r="G40" s="408" t="str">
        <f>IFERROR(__xludf.DUMMYFUNCTION("""COMPUTED_VALUE"""),"PT Vale")</f>
        <v>PT Vale</v>
      </c>
      <c r="H40" s="408"/>
      <c r="I40" s="411"/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</row>
    <row r="41" ht="22.5" customHeight="1">
      <c r="A41" s="404" t="str">
        <f>IFERROR(__xludf.DUMMYFUNCTION("""COMPUTED_VALUE"""),"Demolition Robot")</f>
        <v>Demolition Robot</v>
      </c>
      <c r="B41" s="405" t="str">
        <f>IFERROR(__xludf.DUMMYFUNCTION("""COMPUTED_VALUE"""),"BM 110 - 923327")</f>
        <v>BM 110 - 923327</v>
      </c>
      <c r="C41" s="406">
        <f>IFERROR(__xludf.DUMMYFUNCTION("""COMPUTED_VALUE"""),2024.0)</f>
        <v>2024</v>
      </c>
      <c r="D41" s="407">
        <f>IFERROR(__xludf.DUMMYFUNCTION("""COMPUTED_VALUE"""),46141.0)</f>
        <v>46141</v>
      </c>
      <c r="E41" s="405">
        <f>IFERROR(__xludf.DUMMYFUNCTION("""COMPUTED_VALUE"""),-97.0)</f>
        <v>-97</v>
      </c>
      <c r="F41" s="406"/>
      <c r="G41" s="408" t="str">
        <f>IFERROR(__xludf.DUMMYFUNCTION("""COMPUTED_VALUE"""),"PTFI - Refractory Routine Maintenance")</f>
        <v>PTFI - Refractory Routine Maintenance</v>
      </c>
      <c r="H41" s="406" t="str">
        <f>IFERROR(__xludf.DUMMYFUNCTION("""COMPUTED_VALUE"""),"Under Process by KTS
Submit disnaker 1 April 2026")</f>
        <v>Under Process by KTS
Submit disnaker 1 April 2026</v>
      </c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1"/>
      <c r="Y41" s="411"/>
      <c r="Z41" s="411"/>
    </row>
    <row r="42" ht="22.5" customHeight="1">
      <c r="A42" s="404" t="str">
        <f>IFERROR(__xludf.DUMMYFUNCTION("""COMPUTED_VALUE"""),"Excavator")</f>
        <v>Excavator</v>
      </c>
      <c r="B42" s="405" t="str">
        <f>IFERROR(__xludf.DUMMYFUNCTION("""COMPUTED_VALUE"""),"Hitachi 1")</f>
        <v>Hitachi 1</v>
      </c>
      <c r="C42" s="406"/>
      <c r="D42" s="407">
        <f>IFERROR(__xludf.DUMMYFUNCTION("""COMPUTED_VALUE"""),46148.0)</f>
        <v>46148</v>
      </c>
      <c r="E42" s="405">
        <f>IFERROR(__xludf.DUMMYFUNCTION("""COMPUTED_VALUE"""),-90.0)</f>
        <v>-90</v>
      </c>
      <c r="F42" s="406"/>
      <c r="G42" s="408" t="str">
        <f>IFERROR(__xludf.DUMMYFUNCTION("""COMPUTED_VALUE"""),"PTFI - Excavator &amp; Dump Truck")</f>
        <v>PTFI - Excavator &amp; Dump Truck</v>
      </c>
      <c r="H42" s="408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</row>
    <row r="43" ht="22.5" customHeight="1">
      <c r="A43" s="404" t="str">
        <f>IFERROR(__xludf.DUMMYFUNCTION("""COMPUTED_VALUE"""),"Forklift")</f>
        <v>Forklift</v>
      </c>
      <c r="B43" s="405" t="str">
        <f>IFERROR(__xludf.DUMMYFUNCTION("""COMPUTED_VALUE"""),"3 Ton - CF51-12955")</f>
        <v>3 Ton - CF51-12955</v>
      </c>
      <c r="C43" s="408">
        <f>IFERROR(__xludf.DUMMYFUNCTION("""COMPUTED_VALUE"""),2023.0)</f>
        <v>2023</v>
      </c>
      <c r="D43" s="407">
        <f>IFERROR(__xludf.DUMMYFUNCTION("""COMPUTED_VALUE"""),46154.0)</f>
        <v>46154</v>
      </c>
      <c r="E43" s="405">
        <f>IFERROR(__xludf.DUMMYFUNCTION("""COMPUTED_VALUE"""),-84.0)</f>
        <v>-84</v>
      </c>
      <c r="F43" s="409"/>
      <c r="G43" s="408" t="str">
        <f>IFERROR(__xludf.DUMMYFUNCTION("""COMPUTED_VALUE"""),"PTFI - Refractory Routine Maintenance")</f>
        <v>PTFI - Refractory Routine Maintenance</v>
      </c>
      <c r="H43" s="406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</row>
    <row r="44" ht="22.5" customHeight="1">
      <c r="A44" s="404" t="str">
        <f>IFERROR(__xludf.DUMMYFUNCTION("""COMPUTED_VALUE"""),"Gunning Machine")</f>
        <v>Gunning Machine</v>
      </c>
      <c r="B44" s="405" t="str">
        <f>IFERROR(__xludf.DUMMYFUNCTION("""COMPUTED_VALUE"""),"Gunning Machine - GM026")</f>
        <v>Gunning Machine - GM026</v>
      </c>
      <c r="C44" s="408">
        <f>IFERROR(__xludf.DUMMYFUNCTION("""COMPUTED_VALUE"""),2023.0)</f>
        <v>2023</v>
      </c>
      <c r="D44" s="407">
        <f>IFERROR(__xludf.DUMMYFUNCTION("""COMPUTED_VALUE"""),46220.0)</f>
        <v>46220</v>
      </c>
      <c r="E44" s="405">
        <f>IFERROR(__xludf.DUMMYFUNCTION("""COMPUTED_VALUE"""),-18.0)</f>
        <v>-18</v>
      </c>
      <c r="F44" s="406"/>
      <c r="G44" s="408" t="str">
        <f>IFERROR(__xludf.DUMMYFUNCTION("""COMPUTED_VALUE"""),"PTFI - Refractory Routine Maintenance")</f>
        <v>PTFI - Refractory Routine Maintenance</v>
      </c>
      <c r="H44" s="406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</row>
    <row r="45" ht="22.5" customHeight="1">
      <c r="A45" s="404" t="str">
        <f>IFERROR(__xludf.DUMMYFUNCTION("""COMPUTED_VALUE"""),"Excavator")</f>
        <v>Excavator</v>
      </c>
      <c r="B45" s="405" t="str">
        <f>IFERROR(__xludf.DUMMYFUNCTION("""COMPUTED_VALUE"""),"Hitachi 2")</f>
        <v>Hitachi 2</v>
      </c>
      <c r="C45" s="408"/>
      <c r="D45" s="407">
        <f>IFERROR(__xludf.DUMMYFUNCTION("""COMPUTED_VALUE"""),46250.0)</f>
        <v>46250</v>
      </c>
      <c r="E45" s="405">
        <f>IFERROR(__xludf.DUMMYFUNCTION("""COMPUTED_VALUE"""),12.0)</f>
        <v>12</v>
      </c>
      <c r="F45" s="406"/>
      <c r="G45" s="406" t="str">
        <f>IFERROR(__xludf.DUMMYFUNCTION("""COMPUTED_VALUE"""),"PTFI - Excavator &amp; Dump Truck")</f>
        <v>PTFI - Excavator &amp; Dump Truck</v>
      </c>
      <c r="H45" s="406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</row>
    <row r="46" ht="22.5" customHeight="1">
      <c r="A46" s="404" t="str">
        <f>IFERROR(__xludf.DUMMYFUNCTION("""COMPUTED_VALUE"""),"TMC")</f>
        <v>TMC</v>
      </c>
      <c r="B46" s="405" t="str">
        <f>IFERROR(__xludf.DUMMYFUNCTION("""COMPUTED_VALUE"""),"TMC - KZ1222")</f>
        <v>TMC - KZ1222</v>
      </c>
      <c r="C46" s="406">
        <f>IFERROR(__xludf.DUMMYFUNCTION("""COMPUTED_VALUE"""),2024.0)</f>
        <v>2024</v>
      </c>
      <c r="D46" s="407">
        <f>IFERROR(__xludf.DUMMYFUNCTION("""COMPUTED_VALUE"""),46305.0)</f>
        <v>46305</v>
      </c>
      <c r="E46" s="405">
        <f>IFERROR(__xludf.DUMMYFUNCTION("""COMPUTED_VALUE"""),67.0)</f>
        <v>67</v>
      </c>
      <c r="F46" s="409"/>
      <c r="G46" s="406" t="str">
        <f>IFERROR(__xludf.DUMMYFUNCTION("""COMPUTED_VALUE"""),"Workshop Aldzama")</f>
        <v>Workshop Aldzama</v>
      </c>
      <c r="H46" s="406" t="str">
        <f>IFERROR(__xludf.DUMMYFUNCTION("""COMPUTED_VALUE"""),"SILO belum terupload di server")</f>
        <v>SILO belum terupload di server</v>
      </c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</row>
    <row r="47" ht="22.5" customHeight="1">
      <c r="A47" s="404" t="str">
        <f>IFERROR(__xludf.DUMMYFUNCTION("""COMPUTED_VALUE"""),"Demolition Robot")</f>
        <v>Demolition Robot</v>
      </c>
      <c r="B47" s="405" t="str">
        <f>IFERROR(__xludf.DUMMYFUNCTION("""COMPUTED_VALUE"""),"BM 160 - 942428")</f>
        <v>BM 160 - 942428</v>
      </c>
      <c r="C47" s="406">
        <f>IFERROR(__xludf.DUMMYFUNCTION("""COMPUTED_VALUE"""),2015.0)</f>
        <v>2015</v>
      </c>
      <c r="D47" s="407">
        <f>IFERROR(__xludf.DUMMYFUNCTION("""COMPUTED_VALUE"""),46329.0)</f>
        <v>46329</v>
      </c>
      <c r="E47" s="405">
        <f>IFERROR(__xludf.DUMMYFUNCTION("""COMPUTED_VALUE"""),91.0)</f>
        <v>91</v>
      </c>
      <c r="F47" s="406"/>
      <c r="G47" s="408"/>
      <c r="H47" s="406" t="str">
        <f>IFERROR(__xludf.DUMMYFUNCTION("""COMPUTED_VALUE"""),"Done")</f>
        <v>Done</v>
      </c>
      <c r="I47" s="411"/>
      <c r="J47" s="411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</row>
    <row r="48" ht="22.5" customHeight="1">
      <c r="A48" s="404" t="str">
        <f>IFERROR(__xludf.DUMMYFUNCTION("""COMPUTED_VALUE"""),"Demolition Robot")</f>
        <v>Demolition Robot</v>
      </c>
      <c r="B48" s="405" t="str">
        <f>IFERROR(__xludf.DUMMYFUNCTION("""COMPUTED_VALUE"""),"BM 90 - 921166")</f>
        <v>BM 90 - 921166</v>
      </c>
      <c r="C48" s="406">
        <f>IFERROR(__xludf.DUMMYFUNCTION("""COMPUTED_VALUE"""),2011.0)</f>
        <v>2011</v>
      </c>
      <c r="D48" s="407">
        <f>IFERROR(__xludf.DUMMYFUNCTION("""COMPUTED_VALUE"""),46330.0)</f>
        <v>46330</v>
      </c>
      <c r="E48" s="405">
        <f>IFERROR(__xludf.DUMMYFUNCTION("""COMPUTED_VALUE"""),92.0)</f>
        <v>92</v>
      </c>
      <c r="F48" s="406"/>
      <c r="G48" s="408"/>
      <c r="H48" s="406" t="str">
        <f>IFERROR(__xludf.DUMMYFUNCTION("""COMPUTED_VALUE"""),"Done")</f>
        <v>Done</v>
      </c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</row>
    <row r="49" ht="22.5" customHeight="1">
      <c r="A49" s="404" t="str">
        <f>IFERROR(__xludf.DUMMYFUNCTION("""COMPUTED_VALUE"""),"Demolition Robot")</f>
        <v>Demolition Robot</v>
      </c>
      <c r="B49" s="405" t="str">
        <f>IFERROR(__xludf.DUMMYFUNCTION("""COMPUTED_VALUE"""),"BM 170 - 943183")</f>
        <v>BM 170 - 943183</v>
      </c>
      <c r="C49" s="406">
        <f>IFERROR(__xludf.DUMMYFUNCTION("""COMPUTED_VALUE"""),2020.0)</f>
        <v>2020</v>
      </c>
      <c r="D49" s="407">
        <f>IFERROR(__xludf.DUMMYFUNCTION("""COMPUTED_VALUE"""),46335.0)</f>
        <v>46335</v>
      </c>
      <c r="E49" s="405">
        <f>IFERROR(__xludf.DUMMYFUNCTION("""COMPUTED_VALUE"""),97.0)</f>
        <v>97</v>
      </c>
      <c r="F49" s="406"/>
      <c r="G49" s="408"/>
      <c r="H49" s="408" t="str">
        <f>IFERROR(__xludf.DUMMYFUNCTION("""COMPUTED_VALUE"""),"Done")</f>
        <v>Done</v>
      </c>
      <c r="I49" s="411"/>
      <c r="J49" s="411"/>
      <c r="K49" s="411"/>
      <c r="L49" s="411"/>
      <c r="M49" s="411"/>
      <c r="N49" s="411"/>
      <c r="O49" s="411"/>
      <c r="P49" s="411"/>
      <c r="Q49" s="411"/>
      <c r="R49" s="411"/>
      <c r="S49" s="411"/>
      <c r="T49" s="411"/>
      <c r="U49" s="411"/>
      <c r="V49" s="411"/>
      <c r="W49" s="411"/>
      <c r="X49" s="411"/>
      <c r="Y49" s="411"/>
      <c r="Z49" s="411"/>
    </row>
    <row r="50" ht="22.5" customHeight="1">
      <c r="A50" s="404" t="str">
        <f>IFERROR(__xludf.DUMMYFUNCTION("""COMPUTED_VALUE"""),"Skid Steer")</f>
        <v>Skid Steer</v>
      </c>
      <c r="B50" s="405" t="str">
        <f>IFERROR(__xludf.DUMMYFUNCTION("""COMPUTED_VALUE"""),"Bobcat - B5NB11344")</f>
        <v>Bobcat - B5NB11344</v>
      </c>
      <c r="C50" s="406">
        <f>IFERROR(__xludf.DUMMYFUNCTION("""COMPUTED_VALUE"""),2024.0)</f>
        <v>2024</v>
      </c>
      <c r="D50" s="407">
        <f>IFERROR(__xludf.DUMMYFUNCTION("""COMPUTED_VALUE"""),46437.0)</f>
        <v>46437</v>
      </c>
      <c r="E50" s="405">
        <f>IFERROR(__xludf.DUMMYFUNCTION("""COMPUTED_VALUE"""),199.0)</f>
        <v>199</v>
      </c>
      <c r="F50" s="406"/>
      <c r="G50" s="408"/>
      <c r="H50" s="408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</row>
    <row r="51" ht="22.5" customHeight="1">
      <c r="A51" s="404" t="str">
        <f>IFERROR(__xludf.DUMMYFUNCTION("""COMPUTED_VALUE"""),"Demolition Robot")</f>
        <v>Demolition Robot</v>
      </c>
      <c r="B51" s="405" t="str">
        <f>IFERROR(__xludf.DUMMYFUNCTION("""COMPUTED_VALUE"""),"BM 330 - 980186")</f>
        <v>BM 330 - 980186</v>
      </c>
      <c r="C51" s="406">
        <f>IFERROR(__xludf.DUMMYFUNCTION("""COMPUTED_VALUE"""),2007.0)</f>
        <v>2007</v>
      </c>
      <c r="D51" s="407">
        <f>IFERROR(__xludf.DUMMYFUNCTION("""COMPUTED_VALUE"""),46473.0)</f>
        <v>46473</v>
      </c>
      <c r="E51" s="405">
        <f>IFERROR(__xludf.DUMMYFUNCTION("""COMPUTED_VALUE"""),235.0)</f>
        <v>235</v>
      </c>
      <c r="F51" s="406"/>
      <c r="G51" s="406"/>
      <c r="H51" s="408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411"/>
    </row>
    <row r="52" ht="22.5" customHeight="1">
      <c r="A52" s="404" t="str">
        <f>IFERROR(__xludf.DUMMYFUNCTION("""COMPUTED_VALUE"""),"Pan Mixer")</f>
        <v>Pan Mixer</v>
      </c>
      <c r="B52" s="405" t="str">
        <f>IFERROR(__xludf.DUMMYFUNCTION("""COMPUTED_VALUE"""),"Pan Mixer - 0092501020")</f>
        <v>Pan Mixer - 0092501020</v>
      </c>
      <c r="C52" s="406">
        <f>IFERROR(__xludf.DUMMYFUNCTION("""COMPUTED_VALUE"""),2022.0)</f>
        <v>2022</v>
      </c>
      <c r="D52" s="407">
        <f>IFERROR(__xludf.DUMMYFUNCTION("""COMPUTED_VALUE"""),46157.0)</f>
        <v>46157</v>
      </c>
      <c r="E52" s="405">
        <f>IFERROR(__xludf.DUMMYFUNCTION("""COMPUTED_VALUE"""),-81.0)</f>
        <v>-81</v>
      </c>
      <c r="F52" s="409"/>
      <c r="G52" s="406"/>
      <c r="H52" s="406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</row>
    <row r="53" ht="22.5" customHeight="1">
      <c r="A53" s="404" t="str">
        <f>IFERROR(__xludf.DUMMYFUNCTION("""COMPUTED_VALUE"""),"Pan Mixer")</f>
        <v>Pan Mixer</v>
      </c>
      <c r="B53" s="405" t="str">
        <f>IFERROR(__xludf.DUMMYFUNCTION("""COMPUTED_VALUE"""),"Pan Mixer - 0092501021")</f>
        <v>Pan Mixer - 0092501021</v>
      </c>
      <c r="C53" s="406">
        <f>IFERROR(__xludf.DUMMYFUNCTION("""COMPUTED_VALUE"""),2022.0)</f>
        <v>2022</v>
      </c>
      <c r="D53" s="407">
        <f>IFERROR(__xludf.DUMMYFUNCTION("""COMPUTED_VALUE"""),46156.0)</f>
        <v>46156</v>
      </c>
      <c r="E53" s="405">
        <f>IFERROR(__xludf.DUMMYFUNCTION("""COMPUTED_VALUE"""),-82.0)</f>
        <v>-82</v>
      </c>
      <c r="F53" s="409"/>
      <c r="G53" s="406" t="str">
        <f>IFERROR(__xludf.DUMMYFUNCTION("""COMPUTED_VALUE"""),"PTFI - Refractory Routine Maintenance")</f>
        <v>PTFI - Refractory Routine Maintenance</v>
      </c>
      <c r="H53" s="406"/>
      <c r="I53" s="411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1"/>
      <c r="V53" s="411"/>
      <c r="W53" s="411"/>
      <c r="X53" s="411"/>
      <c r="Y53" s="411"/>
      <c r="Z53" s="411"/>
    </row>
    <row r="54" ht="22.5" customHeight="1">
      <c r="A54" s="404" t="str">
        <f>IFERROR(__xludf.DUMMYFUNCTION("""COMPUTED_VALUE"""),"Pan Mixer")</f>
        <v>Pan Mixer</v>
      </c>
      <c r="B54" s="405" t="str">
        <f>IFERROR(__xludf.DUMMYFUNCTION("""COMPUTED_VALUE"""),"Pan Mixer - AZM-PM-025")</f>
        <v>Pan Mixer - AZM-PM-025</v>
      </c>
      <c r="C54" s="406">
        <f>IFERROR(__xludf.DUMMYFUNCTION("""COMPUTED_VALUE"""),2025.0)</f>
        <v>2025</v>
      </c>
      <c r="D54" s="407">
        <f>IFERROR(__xludf.DUMMYFUNCTION("""COMPUTED_VALUE"""),46220.0)</f>
        <v>46220</v>
      </c>
      <c r="E54" s="405">
        <f>IFERROR(__xludf.DUMMYFUNCTION("""COMPUTED_VALUE"""),-18.0)</f>
        <v>-18</v>
      </c>
      <c r="F54" s="409"/>
      <c r="G54" s="408" t="str">
        <f>IFERROR(__xludf.DUMMYFUNCTION("""COMPUTED_VALUE"""),"PTFI - Refractory Routine Maintenance")</f>
        <v>PTFI - Refractory Routine Maintenance</v>
      </c>
      <c r="H54" s="406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</row>
    <row r="55" ht="22.5" customHeight="1">
      <c r="A55" s="404" t="str">
        <f>IFERROR(__xludf.DUMMYFUNCTION("""COMPUTED_VALUE"""),"Pan Mixer")</f>
        <v>Pan Mixer</v>
      </c>
      <c r="B55" s="405" t="str">
        <f>IFERROR(__xludf.DUMMYFUNCTION("""COMPUTED_VALUE"""),"Pan Mixer - PM008")</f>
        <v>Pan Mixer - PM008</v>
      </c>
      <c r="C55" s="406">
        <f>IFERROR(__xludf.DUMMYFUNCTION("""COMPUTED_VALUE"""),2022.0)</f>
        <v>2022</v>
      </c>
      <c r="D55" s="407">
        <f>IFERROR(__xludf.DUMMYFUNCTION("""COMPUTED_VALUE"""),45853.0)</f>
        <v>45853</v>
      </c>
      <c r="E55" s="405">
        <f>IFERROR(__xludf.DUMMYFUNCTION("""COMPUTED_VALUE"""),-385.0)</f>
        <v>-385</v>
      </c>
      <c r="F55" s="406"/>
      <c r="G55" s="408" t="str">
        <f>IFERROR(__xludf.DUMMYFUNCTION("""COMPUTED_VALUE"""),"PTFI - Refractory Routine Maintenance")</f>
        <v>PTFI - Refractory Routine Maintenance</v>
      </c>
      <c r="H55" s="406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1"/>
      <c r="X55" s="411"/>
      <c r="Y55" s="411"/>
      <c r="Z55" s="411"/>
    </row>
    <row r="56" ht="22.5" customHeight="1">
      <c r="A56" s="404" t="str">
        <f>IFERROR(__xludf.DUMMYFUNCTION("""COMPUTED_VALUE"""),"Pan Mixer")</f>
        <v>Pan Mixer</v>
      </c>
      <c r="B56" s="405" t="str">
        <f>IFERROR(__xludf.DUMMYFUNCTION("""COMPUTED_VALUE"""),"Pan Mixer - PM009")</f>
        <v>Pan Mixer - PM009</v>
      </c>
      <c r="C56" s="406">
        <f>IFERROR(__xludf.DUMMYFUNCTION("""COMPUTED_VALUE"""),2022.0)</f>
        <v>2022</v>
      </c>
      <c r="D56" s="407">
        <f>IFERROR(__xludf.DUMMYFUNCTION("""COMPUTED_VALUE"""),45853.0)</f>
        <v>45853</v>
      </c>
      <c r="E56" s="405">
        <f>IFERROR(__xludf.DUMMYFUNCTION("""COMPUTED_VALUE"""),-385.0)</f>
        <v>-385</v>
      </c>
      <c r="F56" s="406"/>
      <c r="G56" s="408" t="str">
        <f>IFERROR(__xludf.DUMMYFUNCTION("""COMPUTED_VALUE"""),"PTFI - Refractory Routine Maintenance")</f>
        <v>PTFI - Refractory Routine Maintenance</v>
      </c>
      <c r="H56" s="406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</row>
    <row r="57" ht="22.5" customHeight="1">
      <c r="A57" s="404" t="str">
        <f>IFERROR(__xludf.DUMMYFUNCTION("""COMPUTED_VALUE"""),"Demolition Robot")</f>
        <v>Demolition Robot</v>
      </c>
      <c r="B57" s="405" t="str">
        <f>IFERROR(__xludf.DUMMYFUNCTION("""COMPUTED_VALUE"""),"BM 330 - 980369 (Rubber)")</f>
        <v>BM 330 - 980369 (Rubber)</v>
      </c>
      <c r="C57" s="406">
        <f>IFERROR(__xludf.DUMMYFUNCTION("""COMPUTED_VALUE"""),2007.0)</f>
        <v>2007</v>
      </c>
      <c r="D57" s="407">
        <f>IFERROR(__xludf.DUMMYFUNCTION("""COMPUTED_VALUE"""),46473.0)</f>
        <v>46473</v>
      </c>
      <c r="E57" s="405">
        <f>IFERROR(__xludf.DUMMYFUNCTION("""COMPUTED_VALUE"""),235.0)</f>
        <v>235</v>
      </c>
      <c r="F57" s="409"/>
      <c r="G57" s="408"/>
      <c r="H57" s="408"/>
      <c r="I57" s="411"/>
      <c r="J57" s="411"/>
      <c r="K57" s="411"/>
      <c r="L57" s="411"/>
      <c r="M57" s="411"/>
      <c r="N57" s="411"/>
      <c r="O57" s="411"/>
      <c r="P57" s="411"/>
      <c r="Q57" s="411"/>
      <c r="R57" s="411"/>
      <c r="S57" s="411"/>
      <c r="T57" s="411"/>
      <c r="U57" s="411"/>
      <c r="V57" s="411"/>
      <c r="W57" s="411"/>
      <c r="X57" s="411"/>
      <c r="Y57" s="411"/>
      <c r="Z57" s="411"/>
    </row>
    <row r="58" ht="22.5" customHeight="1">
      <c r="A58" s="404" t="str">
        <f>IFERROR(__xludf.DUMMYFUNCTION("""COMPUTED_VALUE"""),"Demolition Robot")</f>
        <v>Demolition Robot</v>
      </c>
      <c r="B58" s="405" t="str">
        <f>IFERROR(__xludf.DUMMYFUNCTION("""COMPUTED_VALUE"""),"Geohammer 200E - 200E0004")</f>
        <v>Geohammer 200E - 200E0004</v>
      </c>
      <c r="C58" s="406">
        <f>IFERROR(__xludf.DUMMYFUNCTION("""COMPUTED_VALUE"""),2025.0)</f>
        <v>2025</v>
      </c>
      <c r="D58" s="407">
        <f>IFERROR(__xludf.DUMMYFUNCTION("""COMPUTED_VALUE"""),46473.0)</f>
        <v>46473</v>
      </c>
      <c r="E58" s="405">
        <f>IFERROR(__xludf.DUMMYFUNCTION("""COMPUTED_VALUE"""),235.0)</f>
        <v>235</v>
      </c>
      <c r="F58" s="406"/>
      <c r="G58" s="408" t="str">
        <f>IFERROR(__xludf.DUMMYFUNCTION("""COMPUTED_VALUE"""),"PT Antam")</f>
        <v>PT Antam</v>
      </c>
      <c r="H58" s="408"/>
      <c r="I58" s="411"/>
      <c r="J58" s="411"/>
      <c r="K58" s="411"/>
      <c r="L58" s="411"/>
      <c r="M58" s="411"/>
      <c r="N58" s="411"/>
      <c r="O58" s="411"/>
      <c r="P58" s="411"/>
      <c r="Q58" s="411"/>
      <c r="R58" s="411"/>
      <c r="S58" s="411"/>
      <c r="T58" s="411"/>
      <c r="U58" s="411"/>
      <c r="V58" s="411"/>
      <c r="W58" s="411"/>
      <c r="X58" s="411"/>
      <c r="Y58" s="411"/>
      <c r="Z58" s="411"/>
    </row>
    <row r="59" ht="22.5" customHeight="1">
      <c r="A59" s="404" t="str">
        <f>IFERROR(__xludf.DUMMYFUNCTION("""COMPUTED_VALUE"""),"Demolition Robot")</f>
        <v>Demolition Robot</v>
      </c>
      <c r="B59" s="405" t="str">
        <f>IFERROR(__xludf.DUMMYFUNCTION("""COMPUTED_VALUE"""),"HCR120D - PO202411003")</f>
        <v>HCR120D - PO202411003</v>
      </c>
      <c r="C59" s="408">
        <f>IFERROR(__xludf.DUMMYFUNCTION("""COMPUTED_VALUE"""),2025.0)</f>
        <v>2025</v>
      </c>
      <c r="D59" s="407">
        <f>IFERROR(__xludf.DUMMYFUNCTION("""COMPUTED_VALUE"""),46473.0)</f>
        <v>46473</v>
      </c>
      <c r="E59" s="405">
        <f>IFERROR(__xludf.DUMMYFUNCTION("""COMPUTED_VALUE"""),235.0)</f>
        <v>235</v>
      </c>
      <c r="F59" s="406"/>
      <c r="G59" s="408" t="str">
        <f>IFERROR(__xludf.DUMMYFUNCTION("""COMPUTED_VALUE"""),"PTFI - Refractory Routine Maintenance")</f>
        <v>PTFI - Refractory Routine Maintenance</v>
      </c>
      <c r="H59" s="408"/>
      <c r="I59" s="411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1"/>
      <c r="V59" s="411"/>
      <c r="W59" s="411"/>
      <c r="X59" s="411"/>
      <c r="Y59" s="411"/>
      <c r="Z59" s="411"/>
    </row>
    <row r="60" ht="22.5" customHeight="1">
      <c r="A60" s="404" t="str">
        <f>IFERROR(__xludf.DUMMYFUNCTION("""COMPUTED_VALUE"""),"Demolition Robot")</f>
        <v>Demolition Robot</v>
      </c>
      <c r="B60" s="405" t="str">
        <f>IFERROR(__xludf.DUMMYFUNCTION("""COMPUTED_VALUE"""),"HCR120D - PO202411004")</f>
        <v>HCR120D - PO202411004</v>
      </c>
      <c r="C60" s="406">
        <f>IFERROR(__xludf.DUMMYFUNCTION("""COMPUTED_VALUE"""),2025.0)</f>
        <v>2025</v>
      </c>
      <c r="D60" s="407">
        <f>IFERROR(__xludf.DUMMYFUNCTION("""COMPUTED_VALUE"""),46473.0)</f>
        <v>46473</v>
      </c>
      <c r="E60" s="405">
        <f>IFERROR(__xludf.DUMMYFUNCTION("""COMPUTED_VALUE"""),235.0)</f>
        <v>235</v>
      </c>
      <c r="F60" s="409"/>
      <c r="G60" s="406" t="str">
        <f>IFERROR(__xludf.DUMMYFUNCTION("""COMPUTED_VALUE"""),"PTFI - Refractory Routine Maintenance")</f>
        <v>PTFI - Refractory Routine Maintenance</v>
      </c>
      <c r="H60" s="408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411"/>
      <c r="Z60" s="411"/>
    </row>
    <row r="61" ht="22.5" customHeight="1">
      <c r="A61" s="404" t="str">
        <f>IFERROR(__xludf.DUMMYFUNCTION("""COMPUTED_VALUE"""),"Forklift")</f>
        <v>Forklift</v>
      </c>
      <c r="B61" s="405" t="str">
        <f>IFERROR(__xludf.DUMMYFUNCTION("""COMPUTED_VALUE"""),"25 Ton - HNF 250")</f>
        <v>25 Ton - HNF 250</v>
      </c>
      <c r="C61" s="406">
        <f>IFERROR(__xludf.DUMMYFUNCTION("""COMPUTED_VALUE"""),2025.0)</f>
        <v>2025</v>
      </c>
      <c r="D61" s="407">
        <f>IFERROR(__xludf.DUMMYFUNCTION("""COMPUTED_VALUE"""),46526.0)</f>
        <v>46526</v>
      </c>
      <c r="E61" s="405">
        <f>IFERROR(__xludf.DUMMYFUNCTION("""COMPUTED_VALUE"""),288.0)</f>
        <v>288</v>
      </c>
      <c r="F61" s="409"/>
      <c r="G61" s="406" t="str">
        <f>IFERROR(__xludf.DUMMYFUNCTION("""COMPUTED_VALUE"""),"PT Vale")</f>
        <v>PT Vale</v>
      </c>
      <c r="H61" s="408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</row>
    <row r="62" ht="22.5" customHeight="1">
      <c r="A62" s="404" t="str">
        <f>IFERROR(__xludf.DUMMYFUNCTION("""COMPUTED_VALUE"""),"Vacuum Truck")</f>
        <v>Vacuum Truck</v>
      </c>
      <c r="B62" s="405" t="str">
        <f>IFERROR(__xludf.DUMMYFUNCTION("""COMPUTED_VALUE"""),"Highpoint - 1000S")</f>
        <v>Highpoint - 1000S</v>
      </c>
      <c r="C62" s="406"/>
      <c r="D62" s="407">
        <f>IFERROR(__xludf.DUMMYFUNCTION("""COMPUTED_VALUE"""),46526.0)</f>
        <v>46526</v>
      </c>
      <c r="E62" s="405">
        <f>IFERROR(__xludf.DUMMYFUNCTION("""COMPUTED_VALUE"""),288.0)</f>
        <v>288</v>
      </c>
      <c r="F62" s="409"/>
      <c r="G62" s="406" t="str">
        <f>IFERROR(__xludf.DUMMYFUNCTION("""COMPUTED_VALUE"""),"PTFI - Vacuum Truck")</f>
        <v>PTFI - Vacuum Truck</v>
      </c>
      <c r="H62" s="408" t="str">
        <f>IFERROR(__xludf.DUMMYFUNCTION("""COMPUTED_VALUE"""),"SILO belum terupload di server")</f>
        <v>SILO belum terupload di server</v>
      </c>
      <c r="I62" s="411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1"/>
      <c r="V62" s="411"/>
      <c r="W62" s="411"/>
      <c r="X62" s="411"/>
      <c r="Y62" s="411"/>
      <c r="Z62" s="411"/>
    </row>
    <row r="63" ht="22.5" customHeight="1">
      <c r="A63" s="404" t="str">
        <f>IFERROR(__xludf.DUMMYFUNCTION("""COMPUTED_VALUE"""),"Demolition Robot")</f>
        <v>Demolition Robot</v>
      </c>
      <c r="B63" s="405" t="str">
        <f>IFERROR(__xludf.DUMMYFUNCTION("""COMPUTED_VALUE"""),"BM 100 - 921452")</f>
        <v>BM 100 - 921452</v>
      </c>
      <c r="C63" s="406">
        <f>IFERROR(__xludf.DUMMYFUNCTION("""COMPUTED_VALUE"""),2013.0)</f>
        <v>2013</v>
      </c>
      <c r="D63" s="407"/>
      <c r="E63" s="405">
        <f>IFERROR(__xludf.DUMMYFUNCTION("""COMPUTED_VALUE"""),-46238.0)</f>
        <v>-46238</v>
      </c>
      <c r="F63" s="409"/>
      <c r="G63" s="408"/>
      <c r="H63" s="406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</row>
    <row r="64" ht="22.5" customHeight="1">
      <c r="A64" s="404" t="str">
        <f>IFERROR(__xludf.DUMMYFUNCTION("""COMPUTED_VALUE"""),"Demolition Robot")</f>
        <v>Demolition Robot</v>
      </c>
      <c r="B64" s="405" t="str">
        <f>IFERROR(__xludf.DUMMYFUNCTION("""COMPUTED_VALUE"""),"HRC200")</f>
        <v>HRC200</v>
      </c>
      <c r="C64" s="406">
        <f>IFERROR(__xludf.DUMMYFUNCTION("""COMPUTED_VALUE"""),2025.0)</f>
        <v>2025</v>
      </c>
      <c r="D64" s="407"/>
      <c r="E64" s="405">
        <f>IFERROR(__xludf.DUMMYFUNCTION("""COMPUTED_VALUE"""),-46238.0)</f>
        <v>-46238</v>
      </c>
      <c r="F64" s="406"/>
      <c r="G64" s="408" t="str">
        <f>IFERROR(__xludf.DUMMYFUNCTION("""COMPUTED_VALUE"""),"PTFI - Papua")</f>
        <v>PTFI - Papua</v>
      </c>
      <c r="H64" s="408" t="str">
        <f>IFERROR(__xludf.DUMMYFUNCTION("""COMPUTED_VALUE"""),"Under Process by AKM
Submit disnaker 3 Feb 2026")</f>
        <v>Under Process by AKM
Submit disnaker 3 Feb 2026</v>
      </c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</row>
    <row r="65" ht="22.5" customHeight="1">
      <c r="A65" s="404" t="str">
        <f>IFERROR(__xludf.DUMMYFUNCTION("""COMPUTED_VALUE"""),"Demolition Robot")</f>
        <v>Demolition Robot</v>
      </c>
      <c r="B65" s="405" t="str">
        <f>IFERROR(__xludf.DUMMYFUNCTION("""COMPUTED_VALUE"""),"HCR300D - SB452")</f>
        <v>HCR300D - SB452</v>
      </c>
      <c r="C65" s="406">
        <f>IFERROR(__xludf.DUMMYFUNCTION("""COMPUTED_VALUE"""),2025.0)</f>
        <v>2025</v>
      </c>
      <c r="D65" s="407"/>
      <c r="E65" s="405">
        <f>IFERROR(__xludf.DUMMYFUNCTION("""COMPUTED_VALUE"""),-46238.0)</f>
        <v>-46238</v>
      </c>
      <c r="F65" s="409"/>
      <c r="G65" s="408"/>
      <c r="H65" s="408" t="str">
        <f>IFERROR(__xludf.DUMMYFUNCTION("""COMPUTED_VALUE"""),"Under Process by AKM
Submit disnaker 3 Feb 2026")</f>
        <v>Under Process by AKM
Submit disnaker 3 Feb 2026</v>
      </c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  <c r="Z65" s="411"/>
    </row>
    <row r="66">
      <c r="A66" s="411" t="str">
        <f>IFERROR(__xludf.DUMMYFUNCTION("""COMPUTED_VALUE"""),"Forklift")</f>
        <v>Forklift</v>
      </c>
      <c r="B66" s="412" t="str">
        <f>IFERROR(__xludf.DUMMYFUNCTION("""COMPUTED_VALUE"""),"3 Ton - CF14E-13486")</f>
        <v>3 Ton - CF14E-13486</v>
      </c>
      <c r="C66" s="411">
        <f>IFERROR(__xludf.DUMMYFUNCTION("""COMPUTED_VALUE"""),2016.0)</f>
        <v>2016</v>
      </c>
      <c r="D66" s="411"/>
      <c r="E66" s="412">
        <f>IFERROR(__xludf.DUMMYFUNCTION("""COMPUTED_VALUE"""),-46238.0)</f>
        <v>-46238</v>
      </c>
      <c r="F66" s="411"/>
      <c r="G66" s="411" t="str">
        <f>IFERROR(__xludf.DUMMYFUNCTION("""COMPUTED_VALUE"""),"Gudang Cascoland Aldzama")</f>
        <v>Gudang Cascoland Aldzama</v>
      </c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</row>
    <row r="67">
      <c r="A67" s="411" t="str">
        <f>IFERROR(__xludf.DUMMYFUNCTION("""COMPUTED_VALUE"""),"Skid Steer")</f>
        <v>Skid Steer</v>
      </c>
      <c r="B67" s="412" t="str">
        <f>IFERROR(__xludf.DUMMYFUNCTION("""COMPUTED_VALUE"""),"Bobcat")</f>
        <v>Bobcat</v>
      </c>
      <c r="C67" s="411"/>
      <c r="D67" s="411"/>
      <c r="E67" s="412">
        <f>IFERROR(__xludf.DUMMYFUNCTION("""COMPUTED_VALUE"""),-46238.0)</f>
        <v>-46238</v>
      </c>
      <c r="F67" s="411"/>
      <c r="G67" s="411" t="str">
        <f>IFERROR(__xludf.DUMMYFUNCTION("""COMPUTED_VALUE"""),"PT Antam - Lining")</f>
        <v>PT Antam - Lining</v>
      </c>
      <c r="H67" s="411" t="str">
        <f>IFERROR(__xludf.DUMMYFUNCTION("""COMPUTED_VALUE"""),"SILO proses baru")</f>
        <v>SILO proses baru</v>
      </c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1"/>
      <c r="X67" s="411"/>
      <c r="Y67" s="411"/>
      <c r="Z67" s="411"/>
    </row>
  </sheetData>
  <dataValidations>
    <dataValidation type="custom" allowBlank="1" showDropDown="1" sqref="D2:D65">
      <formula1>OR(NOT(ISERROR(DATEVALUE(D2))), AND(ISNUMBER(D2), LEFT(CELL("format", D2))="D"))</formula1>
    </dataValidation>
    <dataValidation type="list" allowBlank="1" sqref="A2:A65">
      <formula1>"Demolition Robot,Forklift,Skid Steer,Vacuum Truck,Pan Mixer,Cutting Brick,Gunning Machine,Excavator,Over Head Crane,Telehandler,TMC"</formula1>
    </dataValidation>
    <dataValidation allowBlank="1" showDropDown="1" sqref="B2:B65 E2:E65"/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2025-07-22T07:13:37Z</dcterms:created>
  <dc:creator>mohammadalvonnuwary@outlook.com</dc:creator>
</cp:coreProperties>
</file>